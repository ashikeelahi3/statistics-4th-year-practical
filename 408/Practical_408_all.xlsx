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3"/>
  </bookViews>
  <sheets>
    <sheet name="Problem 01" sheetId="1" r:id="rId1"/>
    <sheet name="Problem 02" sheetId="2" r:id="rId2"/>
    <sheet name="Problem 03" sheetId="3" r:id="rId3"/>
    <sheet name="Problem 04" sheetId="4" r:id="rId4"/>
  </sheets>
  <calcPr calcId="145621"/>
</workbook>
</file>

<file path=xl/calcChain.xml><?xml version="1.0" encoding="utf-8"?>
<calcChain xmlns="http://schemas.openxmlformats.org/spreadsheetml/2006/main">
  <c r="I2" i="4" l="1"/>
  <c r="H2" i="4"/>
  <c r="G2" i="4"/>
  <c r="F2" i="4"/>
  <c r="H27" i="4"/>
  <c r="I27" i="4" s="1"/>
  <c r="G27" i="4"/>
  <c r="F27" i="4"/>
  <c r="H26" i="4"/>
  <c r="I26" i="4" s="1"/>
  <c r="G26" i="4"/>
  <c r="F26" i="4"/>
  <c r="H25" i="4"/>
  <c r="I25" i="4" s="1"/>
  <c r="G25" i="4"/>
  <c r="F25" i="4"/>
  <c r="I24" i="4"/>
  <c r="H24" i="4"/>
  <c r="G24" i="4"/>
  <c r="F24" i="4"/>
  <c r="I23" i="4"/>
  <c r="H23" i="4"/>
  <c r="G23" i="4"/>
  <c r="F23" i="4"/>
  <c r="I22" i="4"/>
  <c r="H22" i="4"/>
  <c r="G22" i="4"/>
  <c r="F22" i="4"/>
  <c r="I21" i="4"/>
  <c r="H21" i="4"/>
  <c r="G21" i="4"/>
  <c r="F21" i="4"/>
  <c r="I20" i="4"/>
  <c r="H20" i="4"/>
  <c r="G20" i="4"/>
  <c r="F20" i="4"/>
  <c r="I19" i="4"/>
  <c r="H19" i="4"/>
  <c r="G19" i="4"/>
  <c r="F19" i="4"/>
  <c r="I18" i="4"/>
  <c r="H18" i="4"/>
  <c r="G18" i="4"/>
  <c r="F18" i="4"/>
  <c r="I17" i="4"/>
  <c r="H17" i="4"/>
  <c r="G17" i="4"/>
  <c r="F17" i="4"/>
  <c r="I16" i="4"/>
  <c r="H16" i="4"/>
  <c r="G16" i="4"/>
  <c r="F16" i="4"/>
  <c r="I15" i="4"/>
  <c r="H15" i="4"/>
  <c r="G15" i="4"/>
  <c r="F15" i="4"/>
  <c r="I14" i="4"/>
  <c r="H14" i="4"/>
  <c r="G14" i="4"/>
  <c r="F14" i="4"/>
  <c r="I13" i="4"/>
  <c r="H13" i="4"/>
  <c r="G13" i="4"/>
  <c r="F13" i="4"/>
  <c r="I12" i="4"/>
  <c r="H12" i="4"/>
  <c r="G12" i="4"/>
  <c r="F12" i="4"/>
  <c r="I11" i="4"/>
  <c r="H11" i="4"/>
  <c r="G11" i="4"/>
  <c r="F11" i="4"/>
  <c r="I10" i="4"/>
  <c r="H10" i="4"/>
  <c r="G10" i="4"/>
  <c r="F10" i="4"/>
  <c r="I9" i="4"/>
  <c r="H9" i="4"/>
  <c r="G9" i="4"/>
  <c r="F9" i="4"/>
  <c r="I8" i="4"/>
  <c r="H8" i="4"/>
  <c r="G8" i="4"/>
  <c r="F8" i="4"/>
  <c r="I7" i="4"/>
  <c r="H7" i="4"/>
  <c r="G7" i="4"/>
  <c r="F7" i="4"/>
  <c r="I6" i="4"/>
  <c r="H6" i="4"/>
  <c r="G6" i="4"/>
  <c r="F6" i="4"/>
  <c r="I5" i="4"/>
  <c r="H5" i="4"/>
  <c r="G5" i="4"/>
  <c r="F5" i="4"/>
  <c r="I4" i="4"/>
  <c r="H4" i="4"/>
  <c r="G4" i="4"/>
  <c r="F4" i="4"/>
  <c r="I3" i="4"/>
  <c r="H3" i="4"/>
  <c r="G3" i="4"/>
  <c r="F3" i="4"/>
  <c r="C52" i="2" l="1"/>
  <c r="D52" i="2"/>
  <c r="E52" i="2"/>
  <c r="C53" i="2"/>
  <c r="D53" i="2"/>
  <c r="E53" i="2"/>
  <c r="C54" i="2"/>
  <c r="D54" i="2"/>
  <c r="E54" i="2"/>
  <c r="C55" i="2"/>
  <c r="D55" i="2"/>
  <c r="E55" i="2"/>
  <c r="C56" i="2"/>
  <c r="D56" i="2"/>
  <c r="E56" i="2"/>
  <c r="C57" i="2"/>
  <c r="D57" i="2"/>
  <c r="E57" i="2"/>
  <c r="C58" i="2"/>
  <c r="D58" i="2"/>
  <c r="E58" i="2"/>
  <c r="C59" i="2"/>
  <c r="D59" i="2"/>
  <c r="E59" i="2"/>
  <c r="C60" i="2"/>
  <c r="D60" i="2"/>
  <c r="E60" i="2"/>
  <c r="C61" i="2"/>
  <c r="D61" i="2"/>
  <c r="E61" i="2"/>
  <c r="C62" i="2"/>
  <c r="D62" i="2"/>
  <c r="E62" i="2"/>
  <c r="C63" i="2"/>
  <c r="D63" i="2"/>
  <c r="E63" i="2"/>
  <c r="C64" i="2"/>
  <c r="D64" i="2"/>
  <c r="E64" i="2"/>
  <c r="C65" i="2"/>
  <c r="D65" i="2"/>
  <c r="E65" i="2"/>
  <c r="C66" i="2"/>
  <c r="D66" i="2"/>
  <c r="E66" i="2"/>
  <c r="C67" i="2"/>
  <c r="D67" i="2"/>
  <c r="E67" i="2"/>
  <c r="C68" i="2"/>
  <c r="D68" i="2"/>
  <c r="E68" i="2"/>
  <c r="C69" i="2"/>
  <c r="D69" i="2"/>
  <c r="E69" i="2"/>
  <c r="C70" i="2"/>
  <c r="D70" i="2"/>
  <c r="E70" i="2"/>
  <c r="C71" i="2"/>
  <c r="D71" i="2"/>
  <c r="E71" i="2"/>
  <c r="E51" i="2"/>
  <c r="D51" i="2"/>
  <c r="C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51" i="2"/>
  <c r="E26" i="2"/>
  <c r="D26" i="2"/>
  <c r="C26" i="2"/>
  <c r="B26" i="2"/>
  <c r="R46" i="2"/>
  <c r="Q46" i="2"/>
  <c r="P46" i="2"/>
  <c r="O46" i="2"/>
  <c r="N46" i="2"/>
  <c r="M46" i="2"/>
  <c r="L46" i="2"/>
  <c r="K46" i="2"/>
  <c r="I46" i="2"/>
  <c r="H46" i="2"/>
  <c r="G46" i="2"/>
  <c r="F46" i="2"/>
  <c r="E46" i="2"/>
  <c r="D46" i="2"/>
  <c r="C46" i="2"/>
  <c r="B46" i="2"/>
  <c r="R45" i="2"/>
  <c r="Q45" i="2"/>
  <c r="P45" i="2"/>
  <c r="O45" i="2"/>
  <c r="N45" i="2"/>
  <c r="M45" i="2"/>
  <c r="L45" i="2"/>
  <c r="K45" i="2"/>
  <c r="I45" i="2"/>
  <c r="H45" i="2"/>
  <c r="G45" i="2"/>
  <c r="F45" i="2"/>
  <c r="E45" i="2"/>
  <c r="D45" i="2"/>
  <c r="C45" i="2"/>
  <c r="B45" i="2"/>
  <c r="R44" i="2"/>
  <c r="Q44" i="2"/>
  <c r="P44" i="2"/>
  <c r="O44" i="2"/>
  <c r="N44" i="2"/>
  <c r="M44" i="2"/>
  <c r="L44" i="2"/>
  <c r="K44" i="2"/>
  <c r="I44" i="2"/>
  <c r="H44" i="2"/>
  <c r="G44" i="2"/>
  <c r="F44" i="2"/>
  <c r="E44" i="2"/>
  <c r="D44" i="2"/>
  <c r="C44" i="2"/>
  <c r="B44" i="2"/>
  <c r="R43" i="2"/>
  <c r="Q43" i="2"/>
  <c r="P43" i="2"/>
  <c r="O43" i="2"/>
  <c r="N43" i="2"/>
  <c r="M43" i="2"/>
  <c r="L43" i="2"/>
  <c r="K43" i="2"/>
  <c r="I43" i="2"/>
  <c r="H43" i="2"/>
  <c r="G43" i="2"/>
  <c r="F43" i="2"/>
  <c r="E43" i="2"/>
  <c r="D43" i="2"/>
  <c r="C43" i="2"/>
  <c r="B43" i="2"/>
  <c r="R42" i="2"/>
  <c r="Q42" i="2"/>
  <c r="P42" i="2"/>
  <c r="O42" i="2"/>
  <c r="N42" i="2"/>
  <c r="M42" i="2"/>
  <c r="L42" i="2"/>
  <c r="K42" i="2"/>
  <c r="I42" i="2"/>
  <c r="H42" i="2"/>
  <c r="G42" i="2"/>
  <c r="F42" i="2"/>
  <c r="E42" i="2"/>
  <c r="D42" i="2"/>
  <c r="C42" i="2"/>
  <c r="B42" i="2"/>
  <c r="R41" i="2"/>
  <c r="Q41" i="2"/>
  <c r="P41" i="2"/>
  <c r="O41" i="2"/>
  <c r="N41" i="2"/>
  <c r="M41" i="2"/>
  <c r="L41" i="2"/>
  <c r="K41" i="2"/>
  <c r="I41" i="2"/>
  <c r="H41" i="2"/>
  <c r="G41" i="2"/>
  <c r="F41" i="2"/>
  <c r="E41" i="2"/>
  <c r="D41" i="2"/>
  <c r="C41" i="2"/>
  <c r="B41" i="2"/>
  <c r="R40" i="2"/>
  <c r="Q40" i="2"/>
  <c r="P40" i="2"/>
  <c r="O40" i="2"/>
  <c r="N40" i="2"/>
  <c r="M40" i="2"/>
  <c r="L40" i="2"/>
  <c r="K40" i="2"/>
  <c r="I40" i="2"/>
  <c r="H40" i="2"/>
  <c r="G40" i="2"/>
  <c r="F40" i="2"/>
  <c r="E40" i="2"/>
  <c r="D40" i="2"/>
  <c r="C40" i="2"/>
  <c r="B40" i="2"/>
  <c r="R39" i="2"/>
  <c r="Q39" i="2"/>
  <c r="P39" i="2"/>
  <c r="O39" i="2"/>
  <c r="N39" i="2"/>
  <c r="M39" i="2"/>
  <c r="L39" i="2"/>
  <c r="K39" i="2"/>
  <c r="I39" i="2"/>
  <c r="H39" i="2"/>
  <c r="G39" i="2"/>
  <c r="F39" i="2"/>
  <c r="E39" i="2"/>
  <c r="D39" i="2"/>
  <c r="C39" i="2"/>
  <c r="B39" i="2"/>
  <c r="R38" i="2"/>
  <c r="Q38" i="2"/>
  <c r="P38" i="2"/>
  <c r="O38" i="2"/>
  <c r="N38" i="2"/>
  <c r="M38" i="2"/>
  <c r="L38" i="2"/>
  <c r="K38" i="2"/>
  <c r="I38" i="2"/>
  <c r="H38" i="2"/>
  <c r="G38" i="2"/>
  <c r="F38" i="2"/>
  <c r="E38" i="2"/>
  <c r="D38" i="2"/>
  <c r="C38" i="2"/>
  <c r="B38" i="2"/>
  <c r="R37" i="2"/>
  <c r="Q37" i="2"/>
  <c r="P37" i="2"/>
  <c r="O37" i="2"/>
  <c r="N37" i="2"/>
  <c r="M37" i="2"/>
  <c r="L37" i="2"/>
  <c r="K37" i="2"/>
  <c r="I37" i="2"/>
  <c r="H37" i="2"/>
  <c r="G37" i="2"/>
  <c r="F37" i="2"/>
  <c r="E37" i="2"/>
  <c r="D37" i="2"/>
  <c r="C37" i="2"/>
  <c r="B37" i="2"/>
  <c r="R36" i="2"/>
  <c r="Q36" i="2"/>
  <c r="P36" i="2"/>
  <c r="O36" i="2"/>
  <c r="N36" i="2"/>
  <c r="M36" i="2"/>
  <c r="L36" i="2"/>
  <c r="K36" i="2"/>
  <c r="I36" i="2"/>
  <c r="H36" i="2"/>
  <c r="G36" i="2"/>
  <c r="F36" i="2"/>
  <c r="E36" i="2"/>
  <c r="D36" i="2"/>
  <c r="C36" i="2"/>
  <c r="B36" i="2"/>
  <c r="R35" i="2"/>
  <c r="Q35" i="2"/>
  <c r="P35" i="2"/>
  <c r="O35" i="2"/>
  <c r="N35" i="2"/>
  <c r="M35" i="2"/>
  <c r="L35" i="2"/>
  <c r="K35" i="2"/>
  <c r="I35" i="2"/>
  <c r="H35" i="2"/>
  <c r="G35" i="2"/>
  <c r="F35" i="2"/>
  <c r="E35" i="2"/>
  <c r="D35" i="2"/>
  <c r="C35" i="2"/>
  <c r="B35" i="2"/>
  <c r="R34" i="2"/>
  <c r="Q34" i="2"/>
  <c r="P34" i="2"/>
  <c r="O34" i="2"/>
  <c r="N34" i="2"/>
  <c r="M34" i="2"/>
  <c r="L34" i="2"/>
  <c r="K34" i="2"/>
  <c r="I34" i="2"/>
  <c r="H34" i="2"/>
  <c r="G34" i="2"/>
  <c r="F34" i="2"/>
  <c r="E34" i="2"/>
  <c r="D34" i="2"/>
  <c r="C34" i="2"/>
  <c r="B34" i="2"/>
  <c r="R33" i="2"/>
  <c r="Q33" i="2"/>
  <c r="P33" i="2"/>
  <c r="O33" i="2"/>
  <c r="N33" i="2"/>
  <c r="M33" i="2"/>
  <c r="L33" i="2"/>
  <c r="K33" i="2"/>
  <c r="I33" i="2"/>
  <c r="H33" i="2"/>
  <c r="G33" i="2"/>
  <c r="F33" i="2"/>
  <c r="E33" i="2"/>
  <c r="D33" i="2"/>
  <c r="C33" i="2"/>
  <c r="B33" i="2"/>
  <c r="R32" i="2"/>
  <c r="Q32" i="2"/>
  <c r="P32" i="2"/>
  <c r="O32" i="2"/>
  <c r="N32" i="2"/>
  <c r="M32" i="2"/>
  <c r="L32" i="2"/>
  <c r="K32" i="2"/>
  <c r="I32" i="2"/>
  <c r="H32" i="2"/>
  <c r="G32" i="2"/>
  <c r="F32" i="2"/>
  <c r="E32" i="2"/>
  <c r="D32" i="2"/>
  <c r="C32" i="2"/>
  <c r="B32" i="2"/>
  <c r="R31" i="2"/>
  <c r="Q31" i="2"/>
  <c r="P31" i="2"/>
  <c r="O31" i="2"/>
  <c r="N31" i="2"/>
  <c r="M31" i="2"/>
  <c r="L31" i="2"/>
  <c r="K31" i="2"/>
  <c r="I31" i="2"/>
  <c r="H31" i="2"/>
  <c r="G31" i="2"/>
  <c r="F31" i="2"/>
  <c r="E31" i="2"/>
  <c r="D31" i="2"/>
  <c r="C31" i="2"/>
  <c r="B31" i="2"/>
  <c r="R30" i="2"/>
  <c r="Q30" i="2"/>
  <c r="P30" i="2"/>
  <c r="O30" i="2"/>
  <c r="N30" i="2"/>
  <c r="M30" i="2"/>
  <c r="L30" i="2"/>
  <c r="K30" i="2"/>
  <c r="I30" i="2"/>
  <c r="H30" i="2"/>
  <c r="G30" i="2"/>
  <c r="F30" i="2"/>
  <c r="E30" i="2"/>
  <c r="D30" i="2"/>
  <c r="C30" i="2"/>
  <c r="B30" i="2"/>
  <c r="R29" i="2"/>
  <c r="Q29" i="2"/>
  <c r="P29" i="2"/>
  <c r="O29" i="2"/>
  <c r="N29" i="2"/>
  <c r="M29" i="2"/>
  <c r="L29" i="2"/>
  <c r="K29" i="2"/>
  <c r="I29" i="2"/>
  <c r="H29" i="2"/>
  <c r="G29" i="2"/>
  <c r="F29" i="2"/>
  <c r="E29" i="2"/>
  <c r="D29" i="2"/>
  <c r="C29" i="2"/>
  <c r="B29" i="2"/>
  <c r="R28" i="2"/>
  <c r="Q28" i="2"/>
  <c r="P28" i="2"/>
  <c r="O28" i="2"/>
  <c r="N28" i="2"/>
  <c r="M28" i="2"/>
  <c r="L28" i="2"/>
  <c r="K28" i="2"/>
  <c r="I28" i="2"/>
  <c r="H28" i="2"/>
  <c r="G28" i="2"/>
  <c r="F28" i="2"/>
  <c r="E28" i="2"/>
  <c r="D28" i="2"/>
  <c r="C28" i="2"/>
  <c r="B28" i="2"/>
  <c r="R27" i="2"/>
  <c r="Q27" i="2"/>
  <c r="P27" i="2"/>
  <c r="O27" i="2"/>
  <c r="N27" i="2"/>
  <c r="M27" i="2"/>
  <c r="L27" i="2"/>
  <c r="K27" i="2"/>
  <c r="I27" i="2"/>
  <c r="H27" i="2"/>
  <c r="G27" i="2"/>
  <c r="F27" i="2"/>
  <c r="E27" i="2"/>
  <c r="D27" i="2"/>
  <c r="C27" i="2"/>
  <c r="B27" i="2"/>
  <c r="R26" i="2"/>
  <c r="Q26" i="2"/>
  <c r="P26" i="2"/>
  <c r="O26" i="2"/>
  <c r="N26" i="2"/>
  <c r="M26" i="2"/>
  <c r="L26" i="2"/>
  <c r="K26" i="2"/>
  <c r="I26" i="2"/>
  <c r="H26" i="2"/>
  <c r="G26" i="2"/>
  <c r="F26" i="2"/>
  <c r="F39" i="1"/>
  <c r="F40" i="1"/>
  <c r="G39" i="1" s="1"/>
  <c r="F41" i="1"/>
  <c r="G41" i="1" s="1"/>
  <c r="F42" i="1"/>
  <c r="F43" i="1"/>
  <c r="F44" i="1"/>
  <c r="F45" i="1"/>
  <c r="G45" i="1" s="1"/>
  <c r="F46" i="1"/>
  <c r="G46" i="1" s="1"/>
  <c r="F47" i="1"/>
  <c r="F48" i="1"/>
  <c r="G48" i="1" s="1"/>
  <c r="F49" i="1"/>
  <c r="G49" i="1" s="1"/>
  <c r="F50" i="1"/>
  <c r="G50" i="1" s="1"/>
  <c r="F51" i="1"/>
  <c r="F52" i="1"/>
  <c r="G52" i="1" s="1"/>
  <c r="F53" i="1"/>
  <c r="G53" i="1" s="1"/>
  <c r="F54" i="1"/>
  <c r="G54" i="1" s="1"/>
  <c r="F55" i="1"/>
  <c r="F56" i="1"/>
  <c r="G56" i="1" s="1"/>
  <c r="F57" i="1"/>
  <c r="G57" i="1" s="1"/>
  <c r="F58" i="1"/>
  <c r="G58" i="1" s="1"/>
  <c r="F59" i="1"/>
  <c r="F60" i="1"/>
  <c r="G60" i="1" s="1"/>
  <c r="F61" i="1"/>
  <c r="G61" i="1" s="1"/>
  <c r="F62" i="1"/>
  <c r="G62" i="1" s="1"/>
  <c r="F63" i="1"/>
  <c r="F64" i="1"/>
  <c r="G64" i="1" s="1"/>
  <c r="F65" i="1"/>
  <c r="G65" i="1" s="1"/>
  <c r="F66" i="1"/>
  <c r="G66" i="1" s="1"/>
  <c r="F67" i="1"/>
  <c r="F68" i="1"/>
  <c r="G68" i="1" s="1"/>
  <c r="F38" i="1"/>
  <c r="G42" i="1"/>
  <c r="G51" i="1"/>
  <c r="G55" i="1"/>
  <c r="G59" i="1"/>
  <c r="G63" i="1"/>
  <c r="G67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38" i="1"/>
  <c r="AD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B4" i="1"/>
  <c r="AA4" i="1"/>
  <c r="Y8" i="1"/>
  <c r="Y5" i="1"/>
  <c r="Y6" i="1"/>
  <c r="Y7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4" i="1"/>
  <c r="X8" i="1"/>
  <c r="X7" i="1"/>
  <c r="X6" i="1"/>
  <c r="X5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4" i="1"/>
  <c r="W8" i="1"/>
  <c r="W7" i="1"/>
  <c r="W5" i="1"/>
  <c r="W6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4" i="1"/>
  <c r="R5" i="1"/>
  <c r="R9" i="1"/>
  <c r="R13" i="1"/>
  <c r="S13" i="1" s="1"/>
  <c r="R17" i="1"/>
  <c r="R21" i="1"/>
  <c r="R25" i="1"/>
  <c r="R29" i="1"/>
  <c r="S29" i="1" s="1"/>
  <c r="R33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4" i="1"/>
  <c r="O5" i="1"/>
  <c r="O6" i="1"/>
  <c r="R6" i="1" s="1"/>
  <c r="O7" i="1"/>
  <c r="R7" i="1" s="1"/>
  <c r="O8" i="1"/>
  <c r="R8" i="1" s="1"/>
  <c r="O9" i="1"/>
  <c r="O10" i="1"/>
  <c r="R10" i="1" s="1"/>
  <c r="O11" i="1"/>
  <c r="R11" i="1" s="1"/>
  <c r="O12" i="1"/>
  <c r="R12" i="1" s="1"/>
  <c r="O13" i="1"/>
  <c r="O14" i="1"/>
  <c r="R14" i="1" s="1"/>
  <c r="O15" i="1"/>
  <c r="R15" i="1" s="1"/>
  <c r="O16" i="1"/>
  <c r="R16" i="1" s="1"/>
  <c r="O17" i="1"/>
  <c r="O18" i="1"/>
  <c r="R18" i="1" s="1"/>
  <c r="O19" i="1"/>
  <c r="R19" i="1" s="1"/>
  <c r="O20" i="1"/>
  <c r="R20" i="1" s="1"/>
  <c r="O21" i="1"/>
  <c r="O22" i="1"/>
  <c r="R22" i="1" s="1"/>
  <c r="O23" i="1"/>
  <c r="R23" i="1" s="1"/>
  <c r="O24" i="1"/>
  <c r="R24" i="1" s="1"/>
  <c r="O25" i="1"/>
  <c r="O26" i="1"/>
  <c r="R26" i="1" s="1"/>
  <c r="O27" i="1"/>
  <c r="R27" i="1" s="1"/>
  <c r="O28" i="1"/>
  <c r="R28" i="1" s="1"/>
  <c r="O29" i="1"/>
  <c r="O30" i="1"/>
  <c r="R30" i="1" s="1"/>
  <c r="O31" i="1"/>
  <c r="R31" i="1" s="1"/>
  <c r="O32" i="1"/>
  <c r="R32" i="1" s="1"/>
  <c r="O33" i="1"/>
  <c r="O34" i="1"/>
  <c r="R34" i="1" s="1"/>
  <c r="O4" i="1"/>
  <c r="R4" i="1" s="1"/>
  <c r="G47" i="1" l="1"/>
  <c r="G44" i="1"/>
  <c r="G38" i="1"/>
  <c r="G40" i="1"/>
  <c r="G43" i="1"/>
  <c r="AD19" i="1"/>
  <c r="AD23" i="1"/>
  <c r="AD28" i="1"/>
  <c r="AD17" i="1"/>
  <c r="AD21" i="1"/>
  <c r="AD25" i="1"/>
  <c r="AD29" i="1"/>
  <c r="AD33" i="1"/>
  <c r="T32" i="1"/>
  <c r="S32" i="1"/>
  <c r="S24" i="1"/>
  <c r="T24" i="1"/>
  <c r="S20" i="1"/>
  <c r="T20" i="1"/>
  <c r="S16" i="1"/>
  <c r="T16" i="1"/>
  <c r="S8" i="1"/>
  <c r="T8" i="1"/>
  <c r="S4" i="1"/>
  <c r="T4" i="1"/>
  <c r="S31" i="1"/>
  <c r="T31" i="1"/>
  <c r="S27" i="1"/>
  <c r="T27" i="1"/>
  <c r="S23" i="1"/>
  <c r="T23" i="1"/>
  <c r="S19" i="1"/>
  <c r="T19" i="1"/>
  <c r="S15" i="1"/>
  <c r="T15" i="1"/>
  <c r="S11" i="1"/>
  <c r="T11" i="1"/>
  <c r="S7" i="1"/>
  <c r="T7" i="1"/>
  <c r="S21" i="1"/>
  <c r="S5" i="1"/>
  <c r="AD27" i="1"/>
  <c r="AD31" i="1"/>
  <c r="T34" i="1"/>
  <c r="S34" i="1"/>
  <c r="T30" i="1"/>
  <c r="S30" i="1"/>
  <c r="T26" i="1"/>
  <c r="S26" i="1"/>
  <c r="T22" i="1"/>
  <c r="S22" i="1"/>
  <c r="T18" i="1"/>
  <c r="S18" i="1"/>
  <c r="T14" i="1"/>
  <c r="S14" i="1"/>
  <c r="T10" i="1"/>
  <c r="S10" i="1"/>
  <c r="T6" i="1"/>
  <c r="S6" i="1"/>
  <c r="S33" i="1"/>
  <c r="S17" i="1"/>
  <c r="S28" i="1"/>
  <c r="T28" i="1"/>
  <c r="S12" i="1"/>
  <c r="T12" i="1"/>
  <c r="S25" i="1"/>
  <c r="S9" i="1"/>
  <c r="AD15" i="1"/>
  <c r="T33" i="1"/>
  <c r="T29" i="1"/>
  <c r="T25" i="1"/>
  <c r="T21" i="1"/>
  <c r="T17" i="1"/>
  <c r="T13" i="1"/>
  <c r="T9" i="1"/>
  <c r="T5" i="1"/>
  <c r="AD5" i="1"/>
  <c r="AD9" i="1"/>
  <c r="AD13" i="1"/>
  <c r="AD20" i="1"/>
  <c r="AD8" i="1"/>
  <c r="AD12" i="1"/>
  <c r="AD18" i="1"/>
  <c r="AD26" i="1"/>
  <c r="AD34" i="1"/>
  <c r="AD7" i="1"/>
  <c r="AD11" i="1"/>
  <c r="AD16" i="1"/>
  <c r="AD24" i="1"/>
  <c r="AD32" i="1"/>
  <c r="AD6" i="1"/>
  <c r="AD10" i="1"/>
  <c r="AD14" i="1"/>
  <c r="AD22" i="1"/>
  <c r="AD30" i="1"/>
</calcChain>
</file>

<file path=xl/sharedStrings.xml><?xml version="1.0" encoding="utf-8"?>
<sst xmlns="http://schemas.openxmlformats.org/spreadsheetml/2006/main" count="353" uniqueCount="175">
  <si>
    <t>Country</t>
  </si>
  <si>
    <t>Austria</t>
  </si>
  <si>
    <t>United Arab Emirates</t>
  </si>
  <si>
    <t>Czechia</t>
  </si>
  <si>
    <t>Greece</t>
  </si>
  <si>
    <t>Poland</t>
  </si>
  <si>
    <t>Bahrain</t>
  </si>
  <si>
    <t>Lithuania</t>
  </si>
  <si>
    <t>Chile</t>
  </si>
  <si>
    <t>Qatar</t>
  </si>
  <si>
    <t>Slovakia</t>
  </si>
  <si>
    <t>Hungary</t>
  </si>
  <si>
    <t>Romania</t>
  </si>
  <si>
    <t>Bulgaria</t>
  </si>
  <si>
    <t>Barbados</t>
  </si>
  <si>
    <t>China</t>
  </si>
  <si>
    <t>Dominican Republic</t>
  </si>
  <si>
    <t>Moldova (Republic of)</t>
  </si>
  <si>
    <t>Cuba</t>
  </si>
  <si>
    <t>Peru</t>
  </si>
  <si>
    <t>Maldives</t>
  </si>
  <si>
    <t>Iraq</t>
  </si>
  <si>
    <t>Tajikistan</t>
  </si>
  <si>
    <t>Belize</t>
  </si>
  <si>
    <t>Morocco</t>
  </si>
  <si>
    <t>El Salvador</t>
  </si>
  <si>
    <t>Ghana</t>
  </si>
  <si>
    <t>Guatemala</t>
  </si>
  <si>
    <t>Honduras</t>
  </si>
  <si>
    <t>Sao Tome and Principe</t>
  </si>
  <si>
    <t>Namibia</t>
  </si>
  <si>
    <t>Zimbabwe</t>
  </si>
  <si>
    <t>Female</t>
  </si>
  <si>
    <t>Male</t>
  </si>
  <si>
    <t>Overal</t>
  </si>
  <si>
    <t>Life expectancy at birth</t>
  </si>
  <si>
    <t>Expected years of schooling</t>
  </si>
  <si>
    <t>Mean years of schooling</t>
  </si>
  <si>
    <t>Gross national income per capita</t>
  </si>
  <si>
    <t>Income</t>
  </si>
  <si>
    <t>Education</t>
  </si>
  <si>
    <t>Heath</t>
  </si>
  <si>
    <t>HDI</t>
  </si>
  <si>
    <t>HDI Category</t>
  </si>
  <si>
    <t>HDI Rank</t>
  </si>
  <si>
    <t>Overall</t>
  </si>
  <si>
    <t>HDI O</t>
  </si>
  <si>
    <t>HDI F</t>
  </si>
  <si>
    <t>HDI M</t>
  </si>
  <si>
    <t>GDI</t>
  </si>
  <si>
    <t>Gender diff</t>
  </si>
  <si>
    <t>Rank diff</t>
  </si>
  <si>
    <t>Year</t>
  </si>
  <si>
    <t>India</t>
  </si>
  <si>
    <t>Malaysia</t>
  </si>
  <si>
    <t>Nepal</t>
  </si>
  <si>
    <t>Thailand</t>
  </si>
  <si>
    <t>GDP per capita, PPP (constant 2017 international $)</t>
  </si>
  <si>
    <t>School enrollment (% gross)</t>
  </si>
  <si>
    <t>Literacy rate, adult total (% of people ages 15 and above)</t>
  </si>
  <si>
    <t>Life expectancy at birth, total (years)</t>
  </si>
  <si>
    <t>School enrollment(% gross)</t>
  </si>
  <si>
    <t>income index</t>
  </si>
  <si>
    <t xml:space="preserve">education </t>
  </si>
  <si>
    <t>health index</t>
  </si>
  <si>
    <t>Human Development Index (HDI)</t>
  </si>
  <si>
    <t>Gini coefficient</t>
  </si>
  <si>
    <t>Australia</t>
  </si>
  <si>
    <t>Very High</t>
  </si>
  <si>
    <t>Denmark</t>
  </si>
  <si>
    <t>Sweden</t>
  </si>
  <si>
    <t>Ireland</t>
  </si>
  <si>
    <t>Germany</t>
  </si>
  <si>
    <t>Netherlands</t>
  </si>
  <si>
    <t>Finland</t>
  </si>
  <si>
    <t>United States</t>
  </si>
  <si>
    <t>Israel</t>
  </si>
  <si>
    <t>Malta</t>
  </si>
  <si>
    <t>Slovenia</t>
  </si>
  <si>
    <t>Spain</t>
  </si>
  <si>
    <t>France</t>
  </si>
  <si>
    <t>Croatia</t>
  </si>
  <si>
    <t>Argentina</t>
  </si>
  <si>
    <t>Türkiye</t>
  </si>
  <si>
    <t>Montenegro</t>
  </si>
  <si>
    <t>Russian Federation</t>
  </si>
  <si>
    <t>Kazakhstan</t>
  </si>
  <si>
    <t>Costa Rica</t>
  </si>
  <si>
    <t>Uruguay</t>
  </si>
  <si>
    <t>Belarus</t>
  </si>
  <si>
    <t>Georgia</t>
  </si>
  <si>
    <t>Mauritius</t>
  </si>
  <si>
    <t>Serbia</t>
  </si>
  <si>
    <t>Sri Lanka</t>
  </si>
  <si>
    <t>High</t>
  </si>
  <si>
    <t>Bosnia and Herzegovina</t>
  </si>
  <si>
    <t>Iran (Islamic Republic of)</t>
  </si>
  <si>
    <t>Ukraine</t>
  </si>
  <si>
    <t>North Macedonia</t>
  </si>
  <si>
    <t>Colombia</t>
  </si>
  <si>
    <t>Algeria</t>
  </si>
  <si>
    <t>Tonga</t>
  </si>
  <si>
    <t>Ecuador</t>
  </si>
  <si>
    <t>Mongolia</t>
  </si>
  <si>
    <t>Egypt</t>
  </si>
  <si>
    <t>Tunisia</t>
  </si>
  <si>
    <t>Jordan</t>
  </si>
  <si>
    <t>Paraguay</t>
  </si>
  <si>
    <t>Palestine, State of</t>
  </si>
  <si>
    <t>Saint Lucia</t>
  </si>
  <si>
    <t>South Africa</t>
  </si>
  <si>
    <t>Samoa</t>
  </si>
  <si>
    <t>Gabon</t>
  </si>
  <si>
    <t>Lebanon</t>
  </si>
  <si>
    <t>Indonesia</t>
  </si>
  <si>
    <t>Viet Nam</t>
  </si>
  <si>
    <t>Medium</t>
  </si>
  <si>
    <t>Nicaragua</t>
  </si>
  <si>
    <t>Bhutan</t>
  </si>
  <si>
    <t>Cabo Verde</t>
  </si>
  <si>
    <t>Bangladesh</t>
  </si>
  <si>
    <t>Tuvalu</t>
  </si>
  <si>
    <t>Marshall Islands</t>
  </si>
  <si>
    <t>Micronesia (Federated States of)</t>
  </si>
  <si>
    <t>Kiribati</t>
  </si>
  <si>
    <t>Lao People's Democratic Republic</t>
  </si>
  <si>
    <t>Timor-Leste</t>
  </si>
  <si>
    <t>Vanuatu</t>
  </si>
  <si>
    <t>Congo</t>
  </si>
  <si>
    <t>Zambia</t>
  </si>
  <si>
    <t>Solomon Islands</t>
  </si>
  <si>
    <t>Comoros</t>
  </si>
  <si>
    <t>Papua New Guinea</t>
  </si>
  <si>
    <t>Mauritania</t>
  </si>
  <si>
    <t>Côte d'Ivoire</t>
  </si>
  <si>
    <t>Lesotho</t>
  </si>
  <si>
    <t>Low</t>
  </si>
  <si>
    <t>Malawi</t>
  </si>
  <si>
    <t>Senegal</t>
  </si>
  <si>
    <t>Djibouti</t>
  </si>
  <si>
    <t>Sudan</t>
  </si>
  <si>
    <t>Madagascar</t>
  </si>
  <si>
    <t>Gambia</t>
  </si>
  <si>
    <t>Ethiopia</t>
  </si>
  <si>
    <t>Guinea-Bissau</t>
  </si>
  <si>
    <t>Liberia</t>
  </si>
  <si>
    <t>Congo (Democratic Republic of the)</t>
  </si>
  <si>
    <t>Sierra Leone</t>
  </si>
  <si>
    <t>Guinea</t>
  </si>
  <si>
    <t>Yemen</t>
  </si>
  <si>
    <t>Burkina Faso</t>
  </si>
  <si>
    <t>Mozambique</t>
  </si>
  <si>
    <t>Mali</t>
  </si>
  <si>
    <t>Burundi</t>
  </si>
  <si>
    <t>Country Name</t>
  </si>
  <si>
    <t>Immunization, DPT (% of children ages 12-23 months)</t>
  </si>
  <si>
    <t>Pregnant women receiving prenatal care (%)</t>
  </si>
  <si>
    <t>Mortality rate, under-5 (per 1,000 live births)</t>
  </si>
  <si>
    <t>DPT index</t>
  </si>
  <si>
    <t>Prenatal index</t>
  </si>
  <si>
    <t>mortality index</t>
  </si>
  <si>
    <t>UHC index</t>
  </si>
  <si>
    <t>Afghanistan</t>
  </si>
  <si>
    <t>Albania</t>
  </si>
  <si>
    <t>Armenia</t>
  </si>
  <si>
    <t>Azerbaijan</t>
  </si>
  <si>
    <t>Brazil</t>
  </si>
  <si>
    <t>Cambodia</t>
  </si>
  <si>
    <t>Central African Republic</t>
  </si>
  <si>
    <t>Chad</t>
  </si>
  <si>
    <t>Congo, Dem. Rep.</t>
  </si>
  <si>
    <t>Congo, Rep.</t>
  </si>
  <si>
    <t>Cote d'Ivoire</t>
  </si>
  <si>
    <t>Gambia, The</t>
  </si>
  <si>
    <t>Iran, Islamic Rep.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</si>
</sst>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#,##0.0"/>
    <numFmt numFmtId="165" formatCode="#,###,##0"/>
    <numFmt numFmtId="166" formatCode="#,###,##0.000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0" fontId="2" fillId="3" borderId="10" xfId="0" applyFont="1" applyFill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5" fillId="0" borderId="0" xfId="0" applyFont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4" borderId="0" xfId="0" applyFill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6" fillId="5" borderId="15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6" fillId="0" borderId="15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6" fillId="0" borderId="15" xfId="0" applyFont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Continuous" vertical="center" wrapText="1"/>
    </xf>
    <xf numFmtId="166" fontId="2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5" borderId="15" xfId="0" applyFont="1" applyFill="1" applyBorder="1" applyAlignment="1">
      <alignment horizontal="left"/>
    </xf>
    <xf numFmtId="0" fontId="6" fillId="5" borderId="16" xfId="0" applyFont="1" applyFill="1" applyBorder="1" applyAlignment="1">
      <alignment horizontal="left"/>
    </xf>
    <xf numFmtId="0" fontId="6" fillId="5" borderId="17" xfId="0" applyFont="1" applyFill="1" applyBorder="1" applyAlignment="1">
      <alignment horizontal="left"/>
    </xf>
    <xf numFmtId="0" fontId="6" fillId="5" borderId="18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'Problem 02'!$B$50</c:f>
              <c:strCache>
                <c:ptCount val="1"/>
                <c:pt idx="0">
                  <c:v>India</c:v>
                </c:pt>
              </c:strCache>
            </c:strRef>
          </c:tx>
          <c:marker>
            <c:symbol val="none"/>
          </c:marker>
          <c:xVal>
            <c:numRef>
              <c:f>'Problem 02'!$A$51:$A$71</c:f>
              <c:numCache>
                <c:formatCode>General</c:formatCod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numCache>
            </c:numRef>
          </c:xVal>
          <c:yVal>
            <c:numRef>
              <c:f>'Problem 02'!$B$51:$B$71</c:f>
              <c:numCache>
                <c:formatCode>General</c:formatCode>
                <c:ptCount val="21"/>
                <c:pt idx="0">
                  <c:v>0.43005082215079565</c:v>
                </c:pt>
                <c:pt idx="1">
                  <c:v>0.43601447585577308</c:v>
                </c:pt>
                <c:pt idx="2">
                  <c:v>0.44339963307137376</c:v>
                </c:pt>
                <c:pt idx="3">
                  <c:v>0.4496277144319783</c:v>
                </c:pt>
                <c:pt idx="4">
                  <c:v>0.45243285056532023</c:v>
                </c:pt>
                <c:pt idx="5">
                  <c:v>0.46301638649453819</c:v>
                </c:pt>
                <c:pt idx="6">
                  <c:v>0.47889133498171405</c:v>
                </c:pt>
                <c:pt idx="7">
                  <c:v>0.49341242913723427</c:v>
                </c:pt>
                <c:pt idx="8">
                  <c:v>0.50566930860167636</c:v>
                </c:pt>
                <c:pt idx="9">
                  <c:v>0.52148587453473705</c:v>
                </c:pt>
                <c:pt idx="10">
                  <c:v>0.54806507980037256</c:v>
                </c:pt>
                <c:pt idx="11">
                  <c:v>0.55781677539677332</c:v>
                </c:pt>
                <c:pt idx="12">
                  <c:v>0.56087470319624566</c:v>
                </c:pt>
                <c:pt idx="13">
                  <c:v>0.57237927639829767</c:v>
                </c:pt>
                <c:pt idx="14">
                  <c:v>0.5823008260080399</c:v>
                </c:pt>
                <c:pt idx="15">
                  <c:v>0.58867307371145017</c:v>
                </c:pt>
                <c:pt idx="16">
                  <c:v>0.59571933398076038</c:v>
                </c:pt>
                <c:pt idx="17">
                  <c:v>0.60286662562511162</c:v>
                </c:pt>
                <c:pt idx="18">
                  <c:v>0.60719074949425733</c:v>
                </c:pt>
                <c:pt idx="19">
                  <c:v>0.60840338086499823</c:v>
                </c:pt>
                <c:pt idx="20">
                  <c:v>0.61211877725763153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'Problem 02'!$C$50</c:f>
              <c:strCache>
                <c:ptCount val="1"/>
                <c:pt idx="0">
                  <c:v>Malaysia</c:v>
                </c:pt>
              </c:strCache>
            </c:strRef>
          </c:tx>
          <c:marker>
            <c:symbol val="none"/>
          </c:marker>
          <c:xVal>
            <c:numRef>
              <c:f>'Problem 02'!$A$51:$A$71</c:f>
              <c:numCache>
                <c:formatCode>General</c:formatCod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numCache>
            </c:numRef>
          </c:xVal>
          <c:yVal>
            <c:numRef>
              <c:f>'Problem 02'!$C$51:$C$71</c:f>
              <c:numCache>
                <c:formatCode>General</c:formatCode>
                <c:ptCount val="21"/>
                <c:pt idx="0">
                  <c:v>0.66860025605018969</c:v>
                </c:pt>
                <c:pt idx="1">
                  <c:v>0.68138395129517659</c:v>
                </c:pt>
                <c:pt idx="2">
                  <c:v>0.69642837899900967</c:v>
                </c:pt>
                <c:pt idx="3">
                  <c:v>0.69715816561573141</c:v>
                </c:pt>
                <c:pt idx="4">
                  <c:v>0.69097772705637273</c:v>
                </c:pt>
                <c:pt idx="5">
                  <c:v>0.6953488627948553</c:v>
                </c:pt>
                <c:pt idx="6">
                  <c:v>0.70438299247658887</c:v>
                </c:pt>
                <c:pt idx="7">
                  <c:v>0.71932197381088003</c:v>
                </c:pt>
                <c:pt idx="8">
                  <c:v>0.72581400168200205</c:v>
                </c:pt>
                <c:pt idx="9">
                  <c:v>0.73431844566281756</c:v>
                </c:pt>
                <c:pt idx="10">
                  <c:v>0.73400513131933542</c:v>
                </c:pt>
                <c:pt idx="11">
                  <c:v>0.74197018076613241</c:v>
                </c:pt>
                <c:pt idx="12">
                  <c:v>0.74957348270770718</c:v>
                </c:pt>
                <c:pt idx="13">
                  <c:v>0.75416563645795842</c:v>
                </c:pt>
                <c:pt idx="14">
                  <c:v>0.77557311856459732</c:v>
                </c:pt>
                <c:pt idx="15">
                  <c:v>0.78160017452723318</c:v>
                </c:pt>
                <c:pt idx="16">
                  <c:v>0.77596627247690464</c:v>
                </c:pt>
                <c:pt idx="17">
                  <c:v>0.78212697001195963</c:v>
                </c:pt>
                <c:pt idx="18">
                  <c:v>0.77832839629958495</c:v>
                </c:pt>
                <c:pt idx="19">
                  <c:v>0.7742871105333996</c:v>
                </c:pt>
                <c:pt idx="20">
                  <c:v>0.77513057935785001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'Problem 02'!$D$50</c:f>
              <c:strCache>
                <c:ptCount val="1"/>
                <c:pt idx="0">
                  <c:v>Nepal</c:v>
                </c:pt>
              </c:strCache>
            </c:strRef>
          </c:tx>
          <c:marker>
            <c:symbol val="none"/>
          </c:marker>
          <c:xVal>
            <c:numRef>
              <c:f>'Problem 02'!$A$51:$A$71</c:f>
              <c:numCache>
                <c:formatCode>General</c:formatCod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numCache>
            </c:numRef>
          </c:xVal>
          <c:yVal>
            <c:numRef>
              <c:f>'Problem 02'!$D$51:$D$71</c:f>
              <c:numCache>
                <c:formatCode>General</c:formatCode>
                <c:ptCount val="21"/>
                <c:pt idx="0">
                  <c:v>0.35614809756979293</c:v>
                </c:pt>
                <c:pt idx="1">
                  <c:v>0.36707777048467294</c:v>
                </c:pt>
                <c:pt idx="2">
                  <c:v>0.37182368487668177</c:v>
                </c:pt>
                <c:pt idx="3">
                  <c:v>0.38584799344076082</c:v>
                </c:pt>
                <c:pt idx="4">
                  <c:v>0.4050049082956152</c:v>
                </c:pt>
                <c:pt idx="5">
                  <c:v>0.41313355887375153</c:v>
                </c:pt>
                <c:pt idx="6">
                  <c:v>0.432385956249632</c:v>
                </c:pt>
                <c:pt idx="7">
                  <c:v>0.44470703900579267</c:v>
                </c:pt>
                <c:pt idx="8">
                  <c:v>0.44882139505502672</c:v>
                </c:pt>
                <c:pt idx="9">
                  <c:v>0.47075929239916042</c:v>
                </c:pt>
                <c:pt idx="10">
                  <c:v>0.47771053814793962</c:v>
                </c:pt>
                <c:pt idx="11">
                  <c:v>0.49353778331789011</c:v>
                </c:pt>
                <c:pt idx="12">
                  <c:v>0.50225988419801204</c:v>
                </c:pt>
                <c:pt idx="13">
                  <c:v>0.50149893392288614</c:v>
                </c:pt>
                <c:pt idx="14">
                  <c:v>0.50037302835605058</c:v>
                </c:pt>
                <c:pt idx="15">
                  <c:v>0.48206256754949467</c:v>
                </c:pt>
                <c:pt idx="16">
                  <c:v>0.48753091779338253</c:v>
                </c:pt>
                <c:pt idx="17">
                  <c:v>0.49818525155472321</c:v>
                </c:pt>
                <c:pt idx="18">
                  <c:v>0.50751897494025655</c:v>
                </c:pt>
                <c:pt idx="19">
                  <c:v>0.50759780466704152</c:v>
                </c:pt>
                <c:pt idx="20">
                  <c:v>0.50867977236885387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'Problem 02'!$E$50</c:f>
              <c:strCache>
                <c:ptCount val="1"/>
                <c:pt idx="0">
                  <c:v>Thailand</c:v>
                </c:pt>
              </c:strCache>
            </c:strRef>
          </c:tx>
          <c:marker>
            <c:symbol val="none"/>
          </c:marker>
          <c:xVal>
            <c:numRef>
              <c:f>'Problem 02'!$A$51:$A$71</c:f>
              <c:numCache>
                <c:formatCode>General</c:formatCod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numCache>
            </c:numRef>
          </c:xVal>
          <c:yVal>
            <c:numRef>
              <c:f>'Problem 02'!$E$51:$E$71</c:f>
              <c:numCache>
                <c:formatCode>General</c:formatCode>
                <c:ptCount val="21"/>
                <c:pt idx="0">
                  <c:v>0.690003411114402</c:v>
                </c:pt>
                <c:pt idx="1">
                  <c:v>0.69644199091437453</c:v>
                </c:pt>
                <c:pt idx="2">
                  <c:v>0.70375461470802803</c:v>
                </c:pt>
                <c:pt idx="3">
                  <c:v>0.70991879347698006</c:v>
                </c:pt>
                <c:pt idx="4">
                  <c:v>0.72188485637487287</c:v>
                </c:pt>
                <c:pt idx="5">
                  <c:v>0.72673869173530281</c:v>
                </c:pt>
                <c:pt idx="6">
                  <c:v>0.74205167394156524</c:v>
                </c:pt>
                <c:pt idx="7">
                  <c:v>0.74339204668169112</c:v>
                </c:pt>
                <c:pt idx="8">
                  <c:v>0.74719350481665792</c:v>
                </c:pt>
                <c:pt idx="9">
                  <c:v>0.75837017191640232</c:v>
                </c:pt>
                <c:pt idx="10">
                  <c:v>0.76378767222277544</c:v>
                </c:pt>
                <c:pt idx="11">
                  <c:v>0.76477951058032356</c:v>
                </c:pt>
                <c:pt idx="12">
                  <c:v>0.7635302457747758</c:v>
                </c:pt>
                <c:pt idx="13">
                  <c:v>0.76551264814044151</c:v>
                </c:pt>
                <c:pt idx="14">
                  <c:v>0.76913141004567509</c:v>
                </c:pt>
                <c:pt idx="15">
                  <c:v>0.76929230603400833</c:v>
                </c:pt>
                <c:pt idx="16">
                  <c:v>0.7745492022086542</c:v>
                </c:pt>
                <c:pt idx="17">
                  <c:v>0.77798397864995905</c:v>
                </c:pt>
                <c:pt idx="18">
                  <c:v>0.78083161223039421</c:v>
                </c:pt>
                <c:pt idx="19">
                  <c:v>0.77863385482874192</c:v>
                </c:pt>
                <c:pt idx="20">
                  <c:v>0.77930763349383936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13408"/>
        <c:axId val="260778624"/>
      </c:scatterChart>
      <c:valAx>
        <c:axId val="16411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0778624"/>
        <c:crosses val="autoZero"/>
        <c:crossBetween val="midCat"/>
      </c:valAx>
      <c:valAx>
        <c:axId val="260778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1134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52</xdr:row>
      <xdr:rowOff>171450</xdr:rowOff>
    </xdr:from>
    <xdr:to>
      <xdr:col>16</xdr:col>
      <xdr:colOff>0</xdr:colOff>
      <xdr:row>67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8"/>
  <sheetViews>
    <sheetView topLeftCell="A19" workbookViewId="0">
      <selection activeCell="K4" sqref="K4:L34"/>
    </sheetView>
  </sheetViews>
  <sheetFormatPr defaultColWidth="10.85546875" defaultRowHeight="15" x14ac:dyDescent="0.25"/>
  <cols>
    <col min="6" max="6" width="13.42578125" customWidth="1"/>
    <col min="13" max="13" width="16.140625" customWidth="1"/>
    <col min="16" max="16" width="12.140625" customWidth="1"/>
    <col min="20" max="20" width="16" customWidth="1"/>
    <col min="24" max="24" width="15.140625" customWidth="1"/>
  </cols>
  <sheetData>
    <row r="1" spans="1:30" ht="15.75" thickBot="1" x14ac:dyDescent="0.3"/>
    <row r="2" spans="1:30" s="26" customFormat="1" ht="18.75" x14ac:dyDescent="0.3">
      <c r="A2" s="25"/>
      <c r="B2" s="56" t="s">
        <v>35</v>
      </c>
      <c r="C2" s="57"/>
      <c r="D2" s="58"/>
      <c r="E2" s="56" t="s">
        <v>36</v>
      </c>
      <c r="F2" s="57"/>
      <c r="G2" s="58"/>
      <c r="H2" s="56" t="s">
        <v>37</v>
      </c>
      <c r="I2" s="57"/>
      <c r="J2" s="58"/>
      <c r="K2" s="56" t="s">
        <v>38</v>
      </c>
      <c r="L2" s="57"/>
      <c r="M2" s="58"/>
      <c r="O2" s="53" t="s">
        <v>45</v>
      </c>
      <c r="P2" s="54"/>
      <c r="Q2" s="54"/>
      <c r="R2" s="54"/>
      <c r="S2" s="54"/>
      <c r="T2" s="55"/>
      <c r="V2" s="53" t="s">
        <v>32</v>
      </c>
      <c r="W2" s="54"/>
      <c r="X2" s="54"/>
      <c r="Y2" s="55"/>
      <c r="AA2" s="53" t="s">
        <v>33</v>
      </c>
      <c r="AB2" s="54"/>
      <c r="AC2" s="54"/>
      <c r="AD2" s="55"/>
    </row>
    <row r="3" spans="1:30" ht="30.75" thickBot="1" x14ac:dyDescent="0.3">
      <c r="A3" s="21" t="s">
        <v>0</v>
      </c>
      <c r="B3" s="22" t="s">
        <v>32</v>
      </c>
      <c r="C3" s="23" t="s">
        <v>33</v>
      </c>
      <c r="D3" s="24" t="s">
        <v>34</v>
      </c>
      <c r="E3" s="22" t="s">
        <v>32</v>
      </c>
      <c r="F3" s="23" t="s">
        <v>33</v>
      </c>
      <c r="G3" s="24" t="s">
        <v>34</v>
      </c>
      <c r="H3" s="22" t="s">
        <v>32</v>
      </c>
      <c r="I3" s="23" t="s">
        <v>33</v>
      </c>
      <c r="J3" s="24" t="s">
        <v>34</v>
      </c>
      <c r="K3" s="22" t="s">
        <v>32</v>
      </c>
      <c r="L3" s="23" t="s">
        <v>33</v>
      </c>
      <c r="M3" s="24" t="s">
        <v>34</v>
      </c>
      <c r="O3" s="22" t="s">
        <v>41</v>
      </c>
      <c r="P3" s="23" t="s">
        <v>40</v>
      </c>
      <c r="Q3" s="23" t="s">
        <v>39</v>
      </c>
      <c r="R3" s="23" t="s">
        <v>42</v>
      </c>
      <c r="S3" s="23" t="s">
        <v>44</v>
      </c>
      <c r="T3" s="24" t="s">
        <v>43</v>
      </c>
      <c r="V3" s="18" t="s">
        <v>41</v>
      </c>
      <c r="W3" s="19" t="s">
        <v>40</v>
      </c>
      <c r="X3" s="19" t="s">
        <v>39</v>
      </c>
      <c r="Y3" s="20" t="s">
        <v>42</v>
      </c>
      <c r="AA3" s="18" t="s">
        <v>41</v>
      </c>
      <c r="AB3" s="19" t="s">
        <v>40</v>
      </c>
      <c r="AC3" s="19" t="s">
        <v>39</v>
      </c>
      <c r="AD3" s="20" t="s">
        <v>42</v>
      </c>
    </row>
    <row r="4" spans="1:30" x14ac:dyDescent="0.25">
      <c r="A4" s="15" t="s">
        <v>1</v>
      </c>
      <c r="B4" s="3">
        <v>84.084000000000003</v>
      </c>
      <c r="C4" s="4">
        <v>79.043300000000002</v>
      </c>
      <c r="D4" s="5">
        <v>81.579700000000003</v>
      </c>
      <c r="E4" s="3">
        <v>16.395080570000001</v>
      </c>
      <c r="F4" s="4">
        <v>15.64367962</v>
      </c>
      <c r="G4" s="5">
        <v>16.007959369999998</v>
      </c>
      <c r="H4" s="3">
        <v>11.97801018</v>
      </c>
      <c r="I4" s="4">
        <v>12.55373955</v>
      </c>
      <c r="J4" s="5">
        <v>12.25669003</v>
      </c>
      <c r="K4" s="9">
        <v>43413.887364082068</v>
      </c>
      <c r="L4" s="10">
        <v>64148.487366133726</v>
      </c>
      <c r="M4" s="11">
        <v>53618.67138</v>
      </c>
      <c r="O4" s="33">
        <f>(D4-20)/(85-20)</f>
        <v>0.94738</v>
      </c>
      <c r="P4" s="34">
        <f>GEOMEAN(G4/18, J4/15)</f>
        <v>0.85245744112497979</v>
      </c>
      <c r="Q4" s="34">
        <f>(LN(M4)-LN(100))/(LN(75000)-LN(100))</f>
        <v>0.94930709238300792</v>
      </c>
      <c r="R4" s="34">
        <f>GEOMEAN(O4:Q4)</f>
        <v>0.91523906324491255</v>
      </c>
      <c r="S4" s="34">
        <f>_xlfn.RANK.EQ(R4, $R$4:$R$34)</f>
        <v>1</v>
      </c>
      <c r="T4" s="35" t="str">
        <f>IF(R4&lt;0.55, "Low", IF(R4&lt;0.7, "Medium", IF(R4&lt;0.8, "High", "Very High")))</f>
        <v>Very High</v>
      </c>
      <c r="V4" s="33">
        <f>(B4-20)/(85-20)</f>
        <v>0.98590769230769237</v>
      </c>
      <c r="W4" s="34">
        <f>GEOMEAN(E4/18, H4/15)</f>
        <v>0.85283935782594111</v>
      </c>
      <c r="X4" s="34">
        <f>(LN(K4)-LN(100))/(LN(75000)-LN(100))</f>
        <v>0.91741651168939786</v>
      </c>
      <c r="Y4" s="35">
        <f>GEOMEAN(V4:X4)</f>
        <v>0.91711405105000343</v>
      </c>
      <c r="AA4" s="33">
        <f>(C4-20)/(85-20)</f>
        <v>0.90835846153846156</v>
      </c>
      <c r="AB4" s="34">
        <f>GEOMEAN(F4/18, I4/15)</f>
        <v>0.85285290198191499</v>
      </c>
      <c r="AC4" s="34">
        <f>(LN(L4)-LN(100))/(LN(75000)-LN(100))</f>
        <v>0.97639186191507965</v>
      </c>
      <c r="AD4" s="35">
        <f>GEOMEAN(AA4:AC4)</f>
        <v>0.91114014651153408</v>
      </c>
    </row>
    <row r="5" spans="1:30" x14ac:dyDescent="0.25">
      <c r="A5" s="16" t="s">
        <v>2</v>
      </c>
      <c r="B5" s="3">
        <v>80.937100000000001</v>
      </c>
      <c r="C5" s="4">
        <v>77.216399999999993</v>
      </c>
      <c r="D5" s="5">
        <v>78.710400000000007</v>
      </c>
      <c r="E5" s="3">
        <v>16.535619740000001</v>
      </c>
      <c r="F5" s="4">
        <v>15.20983028</v>
      </c>
      <c r="G5" s="5">
        <v>15.717690470000001</v>
      </c>
      <c r="H5" s="3">
        <v>12.525340079999999</v>
      </c>
      <c r="I5" s="4">
        <v>12.80508041</v>
      </c>
      <c r="J5" s="5">
        <v>12.69402981</v>
      </c>
      <c r="K5" s="9">
        <v>28921.14481812964</v>
      </c>
      <c r="L5" s="10">
        <v>77317.680166048609</v>
      </c>
      <c r="M5" s="11">
        <v>62573.591809999998</v>
      </c>
      <c r="O5" s="27">
        <f t="shared" ref="O5:O34" si="0">(D5-20)/(85-20)</f>
        <v>0.90323692307692316</v>
      </c>
      <c r="P5" s="28">
        <f t="shared" ref="P5:P34" si="1">GEOMEAN(G5/18, J5/15)</f>
        <v>0.85963134081598314</v>
      </c>
      <c r="Q5" s="28">
        <f t="shared" ref="Q5:Q34" si="2">(LN(M5)-LN(100))/(LN(75000)-LN(100))</f>
        <v>0.97263704269491158</v>
      </c>
      <c r="R5" s="28">
        <f t="shared" ref="R5:R34" si="3">GEOMEAN(O5:Q5)</f>
        <v>0.91065716651858086</v>
      </c>
      <c r="S5" s="28">
        <f t="shared" ref="S5:S34" si="4">_xlfn.RANK.EQ(R5, $R$4:$R$34)</f>
        <v>2</v>
      </c>
      <c r="T5" s="29" t="str">
        <f t="shared" ref="T5:T34" si="5">IF(R5&lt;0.55, "Low", IF(R5&lt;0.7, "Medium", IF(R5&lt;0.8, "High", "Very High")))</f>
        <v>Very High</v>
      </c>
      <c r="V5" s="27">
        <f t="shared" ref="V5:V34" si="6">(B5-20)/(85-20)</f>
        <v>0.93749384615384612</v>
      </c>
      <c r="W5" s="28">
        <f>GEOMEAN(E5/18, H5/15)</f>
        <v>0.87583665963436685</v>
      </c>
      <c r="X5" s="28">
        <f t="shared" ref="X5:X34" si="7">(LN(K5)-LN(100))/(LN(75000)-LN(100))</f>
        <v>0.85605670789257915</v>
      </c>
      <c r="Y5" s="29">
        <f t="shared" ref="Y5:Y34" si="8">GEOMEAN(V5:X5)</f>
        <v>0.88912883154147326</v>
      </c>
      <c r="AA5" s="27">
        <f t="shared" ref="AA5:AA34" si="9">(C5-20)/(85-20)</f>
        <v>0.88025230769230756</v>
      </c>
      <c r="AB5" s="28">
        <f t="shared" ref="AB5:AB34" si="10">GEOMEAN(F5/18, I5/15)</f>
        <v>0.8493202069408059</v>
      </c>
      <c r="AC5" s="28">
        <f t="shared" ref="AC5:AC34" si="11">(LN(L5)-LN(100))/(LN(75000)-LN(100))</f>
        <v>1.0045973112952804</v>
      </c>
      <c r="AD5" s="29">
        <f t="shared" ref="AD5:AD34" si="12">GEOMEAN(AA5:AC5)</f>
        <v>0.90898534249906671</v>
      </c>
    </row>
    <row r="6" spans="1:30" x14ac:dyDescent="0.25">
      <c r="A6" s="16" t="s">
        <v>3</v>
      </c>
      <c r="B6" s="3">
        <v>80.888499999999993</v>
      </c>
      <c r="C6" s="4">
        <v>74.666200000000003</v>
      </c>
      <c r="D6" s="5">
        <v>77.728300000000004</v>
      </c>
      <c r="E6" s="3">
        <v>16.754360200000001</v>
      </c>
      <c r="F6" s="4">
        <v>15.710410120000001</v>
      </c>
      <c r="G6" s="5">
        <v>16.219680790000002</v>
      </c>
      <c r="H6" s="3">
        <v>12.71214962</v>
      </c>
      <c r="I6" s="4">
        <v>13.03565979</v>
      </c>
      <c r="J6" s="5">
        <v>12.86931038</v>
      </c>
      <c r="K6" s="9">
        <v>30454.505422077007</v>
      </c>
      <c r="L6" s="10">
        <v>47288.808814706375</v>
      </c>
      <c r="M6" s="11">
        <v>38745.213860000003</v>
      </c>
      <c r="O6" s="27">
        <f t="shared" si="0"/>
        <v>0.8881276923076924</v>
      </c>
      <c r="P6" s="28">
        <f t="shared" si="1"/>
        <v>0.8792591712282638</v>
      </c>
      <c r="Q6" s="28">
        <f t="shared" si="2"/>
        <v>0.90023057781232074</v>
      </c>
      <c r="R6" s="28">
        <f t="shared" si="3"/>
        <v>0.88916431834950138</v>
      </c>
      <c r="S6" s="28">
        <f t="shared" si="4"/>
        <v>4</v>
      </c>
      <c r="T6" s="29" t="str">
        <f t="shared" si="5"/>
        <v>Very High</v>
      </c>
      <c r="V6" s="27">
        <f t="shared" si="6"/>
        <v>0.93674615384615378</v>
      </c>
      <c r="W6" s="28">
        <f t="shared" ref="W6:W34" si="13">GEOMEAN(E6/18, H6/15)</f>
        <v>0.8881606745899352</v>
      </c>
      <c r="X6" s="28">
        <f>(LN(K6)-LN(100))/(LN(75000)-LN(100))</f>
        <v>0.86386039234122025</v>
      </c>
      <c r="Y6" s="29">
        <f t="shared" si="8"/>
        <v>0.89574764195591305</v>
      </c>
      <c r="AA6" s="27">
        <f t="shared" si="9"/>
        <v>0.8410184615384616</v>
      </c>
      <c r="AB6" s="28">
        <f t="shared" si="10"/>
        <v>0.87092024868907547</v>
      </c>
      <c r="AC6" s="28">
        <f t="shared" si="11"/>
        <v>0.93033091451472205</v>
      </c>
      <c r="AD6" s="29">
        <f t="shared" si="12"/>
        <v>0.87998200238067459</v>
      </c>
    </row>
    <row r="7" spans="1:30" x14ac:dyDescent="0.25">
      <c r="A7" s="16" t="s">
        <v>4</v>
      </c>
      <c r="B7" s="3">
        <v>82.852099999999993</v>
      </c>
      <c r="C7" s="4">
        <v>77.4923</v>
      </c>
      <c r="D7" s="5">
        <v>80.110600000000005</v>
      </c>
      <c r="E7" s="3">
        <v>20.056440349999999</v>
      </c>
      <c r="F7" s="4">
        <v>20.006179809999999</v>
      </c>
      <c r="G7" s="5">
        <v>20.02878952</v>
      </c>
      <c r="H7" s="3">
        <v>11.096859930000001</v>
      </c>
      <c r="I7" s="4">
        <v>11.746939660000001</v>
      </c>
      <c r="J7" s="5">
        <v>11.408530239999999</v>
      </c>
      <c r="K7" s="9">
        <v>22889.79217457632</v>
      </c>
      <c r="L7" s="10">
        <v>35367.947817811328</v>
      </c>
      <c r="M7" s="11">
        <v>29002.48545</v>
      </c>
      <c r="O7" s="27">
        <f t="shared" si="0"/>
        <v>0.92477846153846166</v>
      </c>
      <c r="P7" s="28">
        <f t="shared" si="1"/>
        <v>0.91994172703837729</v>
      </c>
      <c r="Q7" s="28">
        <f t="shared" si="2"/>
        <v>0.85648095535972779</v>
      </c>
      <c r="R7" s="28">
        <f t="shared" si="3"/>
        <v>0.89985371022150151</v>
      </c>
      <c r="S7" s="28">
        <f t="shared" si="4"/>
        <v>3</v>
      </c>
      <c r="T7" s="29" t="str">
        <f t="shared" si="5"/>
        <v>Very High</v>
      </c>
      <c r="V7" s="27">
        <f t="shared" si="6"/>
        <v>0.96695538461538455</v>
      </c>
      <c r="W7" s="28">
        <f>GEOMEAN(E7/18, H7/15)</f>
        <v>0.90791480522648438</v>
      </c>
      <c r="X7" s="28">
        <f>(LN(K7)-LN(100))/(LN(75000)-LN(100))</f>
        <v>0.82072750226491231</v>
      </c>
      <c r="Y7" s="29">
        <f t="shared" si="8"/>
        <v>0.8964997518153478</v>
      </c>
      <c r="AA7" s="27">
        <f t="shared" si="9"/>
        <v>0.88449692307692307</v>
      </c>
      <c r="AB7" s="28">
        <f t="shared" si="10"/>
        <v>0.93295902624328342</v>
      </c>
      <c r="AC7" s="28">
        <f t="shared" si="11"/>
        <v>0.88645410572215599</v>
      </c>
      <c r="AD7" s="29">
        <f t="shared" si="12"/>
        <v>0.9010282016747897</v>
      </c>
    </row>
    <row r="8" spans="1:30" x14ac:dyDescent="0.25">
      <c r="A8" s="16" t="s">
        <v>5</v>
      </c>
      <c r="B8" s="3">
        <v>80.388800000000003</v>
      </c>
      <c r="C8" s="4">
        <v>72.625500000000002</v>
      </c>
      <c r="D8" s="5">
        <v>76.4572</v>
      </c>
      <c r="E8" s="3">
        <v>16.7696991</v>
      </c>
      <c r="F8" s="4">
        <v>15.31564045</v>
      </c>
      <c r="G8" s="5">
        <v>16.0271492</v>
      </c>
      <c r="H8" s="3">
        <v>13.34002972</v>
      </c>
      <c r="I8" s="4">
        <v>12.96819973</v>
      </c>
      <c r="J8" s="5">
        <v>13.164750099999999</v>
      </c>
      <c r="K8" s="9">
        <v>25260.740440813988</v>
      </c>
      <c r="L8" s="10">
        <v>41335.500449395469</v>
      </c>
      <c r="M8" s="11">
        <v>33033.960809999997</v>
      </c>
      <c r="O8" s="27">
        <f t="shared" si="0"/>
        <v>0.86857230769230764</v>
      </c>
      <c r="P8" s="28">
        <f t="shared" si="1"/>
        <v>0.88400061595716539</v>
      </c>
      <c r="Q8" s="28">
        <f t="shared" si="2"/>
        <v>0.87614155611108202</v>
      </c>
      <c r="R8" s="28">
        <f t="shared" si="3"/>
        <v>0.8762155214211278</v>
      </c>
      <c r="S8" s="28">
        <f t="shared" si="4"/>
        <v>5</v>
      </c>
      <c r="T8" s="29" t="str">
        <f t="shared" si="5"/>
        <v>Very High</v>
      </c>
      <c r="V8" s="27">
        <f t="shared" si="6"/>
        <v>0.92905846153846161</v>
      </c>
      <c r="W8" s="28">
        <f>GEOMEAN(E8/18, H8/15)</f>
        <v>0.91024678051747832</v>
      </c>
      <c r="X8" s="28">
        <f>(LN(K8)-LN(100))/(LN(75000)-LN(100))</f>
        <v>0.83561561174422727</v>
      </c>
      <c r="Y8" s="29">
        <f>GEOMEAN(V8:X8)</f>
        <v>0.89070983277849847</v>
      </c>
      <c r="AA8" s="27">
        <f t="shared" si="9"/>
        <v>0.809623076923077</v>
      </c>
      <c r="AB8" s="28">
        <f t="shared" si="10"/>
        <v>0.85768051625141017</v>
      </c>
      <c r="AC8" s="28">
        <f t="shared" si="11"/>
        <v>0.91000606954636121</v>
      </c>
      <c r="AD8" s="29">
        <f t="shared" si="12"/>
        <v>0.85812569034713315</v>
      </c>
    </row>
    <row r="9" spans="1:30" x14ac:dyDescent="0.25">
      <c r="A9" s="16" t="s">
        <v>6</v>
      </c>
      <c r="B9" s="3">
        <v>80.017799999999994</v>
      </c>
      <c r="C9" s="4">
        <v>77.756600000000006</v>
      </c>
      <c r="D9" s="5">
        <v>78.760499999999993</v>
      </c>
      <c r="E9" s="3">
        <v>17.004859920000001</v>
      </c>
      <c r="F9" s="4">
        <v>15.851180080000001</v>
      </c>
      <c r="G9" s="5">
        <v>16.297559740000001</v>
      </c>
      <c r="H9" s="3">
        <v>10.78437042</v>
      </c>
      <c r="I9" s="4">
        <v>11.173259740000001</v>
      </c>
      <c r="J9" s="5">
        <v>11.04658985</v>
      </c>
      <c r="K9" s="9">
        <v>16786.173061093064</v>
      </c>
      <c r="L9" s="10">
        <v>53359.496713860462</v>
      </c>
      <c r="M9" s="11">
        <v>39497.247880000003</v>
      </c>
      <c r="O9" s="27">
        <f t="shared" si="0"/>
        <v>0.90400769230769218</v>
      </c>
      <c r="P9" s="28">
        <f t="shared" si="1"/>
        <v>0.81657019385660279</v>
      </c>
      <c r="Q9" s="28">
        <f t="shared" si="2"/>
        <v>0.90313443704095908</v>
      </c>
      <c r="R9" s="28">
        <f t="shared" si="3"/>
        <v>0.87358670771224145</v>
      </c>
      <c r="S9" s="28">
        <f t="shared" si="4"/>
        <v>7</v>
      </c>
      <c r="T9" s="29" t="str">
        <f t="shared" si="5"/>
        <v>Very High</v>
      </c>
      <c r="V9" s="27">
        <f t="shared" si="6"/>
        <v>0.92335076923076909</v>
      </c>
      <c r="W9" s="28">
        <f t="shared" si="13"/>
        <v>0.82414199674905797</v>
      </c>
      <c r="X9" s="28">
        <f t="shared" si="7"/>
        <v>0.77387975157055722</v>
      </c>
      <c r="Y9" s="29">
        <f t="shared" si="8"/>
        <v>0.83819953354531873</v>
      </c>
      <c r="AA9" s="27">
        <f t="shared" si="9"/>
        <v>0.88856307692307701</v>
      </c>
      <c r="AB9" s="28">
        <f t="shared" si="10"/>
        <v>0.80991392368287207</v>
      </c>
      <c r="AC9" s="28">
        <f t="shared" si="11"/>
        <v>0.9485751692992207</v>
      </c>
      <c r="AD9" s="29">
        <f t="shared" si="12"/>
        <v>0.88050729813405615</v>
      </c>
    </row>
    <row r="10" spans="1:30" x14ac:dyDescent="0.25">
      <c r="A10" s="16" t="s">
        <v>7</v>
      </c>
      <c r="B10" s="3">
        <v>78.775000000000006</v>
      </c>
      <c r="C10" s="4">
        <v>68.777799999999999</v>
      </c>
      <c r="D10" s="5">
        <v>73.720100000000002</v>
      </c>
      <c r="E10" s="3">
        <v>16.73283958</v>
      </c>
      <c r="F10" s="4">
        <v>15.859849929999999</v>
      </c>
      <c r="G10" s="5">
        <v>16.28506088</v>
      </c>
      <c r="H10" s="3">
        <v>13.58351994</v>
      </c>
      <c r="I10" s="4">
        <v>13.39519978</v>
      </c>
      <c r="J10" s="5">
        <v>13.498100279999999</v>
      </c>
      <c r="K10" s="9">
        <v>33891.368722857827</v>
      </c>
      <c r="L10" s="10">
        <v>42500.043259979517</v>
      </c>
      <c r="M10" s="11">
        <v>37931.303590000003</v>
      </c>
      <c r="O10" s="27">
        <f t="shared" si="0"/>
        <v>0.82646307692307697</v>
      </c>
      <c r="P10" s="28">
        <f t="shared" si="1"/>
        <v>0.90229621650079428</v>
      </c>
      <c r="Q10" s="28">
        <f t="shared" si="2"/>
        <v>0.89702358737610921</v>
      </c>
      <c r="R10" s="28">
        <f t="shared" si="3"/>
        <v>0.87456511834994632</v>
      </c>
      <c r="S10" s="28">
        <f t="shared" si="4"/>
        <v>6</v>
      </c>
      <c r="T10" s="29" t="str">
        <f t="shared" si="5"/>
        <v>Very High</v>
      </c>
      <c r="V10" s="27">
        <f t="shared" si="6"/>
        <v>0.90423076923076928</v>
      </c>
      <c r="W10" s="28">
        <f t="shared" si="13"/>
        <v>0.91750640342452361</v>
      </c>
      <c r="X10" s="28">
        <f t="shared" si="7"/>
        <v>0.88001224205041195</v>
      </c>
      <c r="Y10" s="29">
        <f t="shared" si="8"/>
        <v>0.900448819308169</v>
      </c>
      <c r="AA10" s="27">
        <f t="shared" si="9"/>
        <v>0.75042769230769224</v>
      </c>
      <c r="AB10" s="28">
        <f t="shared" si="10"/>
        <v>0.88703805566442429</v>
      </c>
      <c r="AC10" s="28">
        <f t="shared" si="11"/>
        <v>0.91420290954421757</v>
      </c>
      <c r="AD10" s="29">
        <f t="shared" si="12"/>
        <v>0.84741842253955113</v>
      </c>
    </row>
    <row r="11" spans="1:30" x14ac:dyDescent="0.25">
      <c r="A11" s="16" t="s">
        <v>8</v>
      </c>
      <c r="B11" s="3">
        <v>81.436800000000005</v>
      </c>
      <c r="C11" s="4">
        <v>76.472200000000001</v>
      </c>
      <c r="D11" s="5">
        <v>78.9435</v>
      </c>
      <c r="E11" s="3">
        <v>16.96546936</v>
      </c>
      <c r="F11" s="4">
        <v>16.502630230000001</v>
      </c>
      <c r="G11" s="5">
        <v>16.731300350000001</v>
      </c>
      <c r="H11" s="3">
        <v>10.841317780000001</v>
      </c>
      <c r="I11" s="4">
        <v>11.04624186</v>
      </c>
      <c r="J11" s="5">
        <v>10.934966299999999</v>
      </c>
      <c r="K11" s="9">
        <v>17552.929990093973</v>
      </c>
      <c r="L11" s="10">
        <v>31677.277017350883</v>
      </c>
      <c r="M11" s="11">
        <v>24563.244859999999</v>
      </c>
      <c r="O11" s="27">
        <f t="shared" si="0"/>
        <v>0.90682307692307695</v>
      </c>
      <c r="P11" s="28">
        <f t="shared" si="1"/>
        <v>0.82317408599933783</v>
      </c>
      <c r="Q11" s="28">
        <f t="shared" si="2"/>
        <v>0.83138601878655094</v>
      </c>
      <c r="R11" s="28">
        <f t="shared" si="3"/>
        <v>0.85298027864598691</v>
      </c>
      <c r="S11" s="28">
        <f t="shared" si="4"/>
        <v>9</v>
      </c>
      <c r="T11" s="29" t="str">
        <f t="shared" si="5"/>
        <v>Very High</v>
      </c>
      <c r="V11" s="27">
        <f t="shared" si="6"/>
        <v>0.94518153846153852</v>
      </c>
      <c r="W11" s="28">
        <f t="shared" si="13"/>
        <v>0.82535748622577954</v>
      </c>
      <c r="X11" s="28">
        <f t="shared" si="7"/>
        <v>0.78062671193362143</v>
      </c>
      <c r="Y11" s="29">
        <f t="shared" si="8"/>
        <v>0.84761814365932364</v>
      </c>
      <c r="AA11" s="27">
        <f t="shared" si="9"/>
        <v>0.8688030769230769</v>
      </c>
      <c r="AB11" s="28">
        <f t="shared" si="10"/>
        <v>0.82167859997358217</v>
      </c>
      <c r="AC11" s="28">
        <f t="shared" si="11"/>
        <v>0.86980680180860226</v>
      </c>
      <c r="AD11" s="29">
        <f t="shared" si="12"/>
        <v>0.85313031689934837</v>
      </c>
    </row>
    <row r="12" spans="1:30" x14ac:dyDescent="0.25">
      <c r="A12" s="16" t="s">
        <v>9</v>
      </c>
      <c r="B12" s="3">
        <v>80.937399999999997</v>
      </c>
      <c r="C12" s="4">
        <v>78.313900000000004</v>
      </c>
      <c r="D12" s="5">
        <v>79.271600000000007</v>
      </c>
      <c r="E12" s="3">
        <v>14.533269880000001</v>
      </c>
      <c r="F12" s="4">
        <v>12.09377956</v>
      </c>
      <c r="G12" s="5">
        <v>12.63722038</v>
      </c>
      <c r="H12" s="3">
        <v>11.618815919999999</v>
      </c>
      <c r="I12" s="4">
        <v>9.61258181</v>
      </c>
      <c r="J12" s="5">
        <v>9.9960114499999992</v>
      </c>
      <c r="K12" s="9">
        <v>42100.847430310685</v>
      </c>
      <c r="L12" s="10">
        <v>104066.16405626394</v>
      </c>
      <c r="M12" s="11">
        <v>87134.134690000006</v>
      </c>
      <c r="O12" s="27">
        <f t="shared" si="0"/>
        <v>0.91187076923076937</v>
      </c>
      <c r="P12" s="28">
        <f t="shared" si="1"/>
        <v>0.68400183997655206</v>
      </c>
      <c r="Q12" s="28">
        <f t="shared" si="2"/>
        <v>1.0226524074834678</v>
      </c>
      <c r="R12" s="28">
        <f t="shared" si="3"/>
        <v>0.86080781886345381</v>
      </c>
      <c r="S12" s="28">
        <f t="shared" si="4"/>
        <v>8</v>
      </c>
      <c r="T12" s="29" t="str">
        <f t="shared" si="5"/>
        <v>Very High</v>
      </c>
      <c r="V12" s="27">
        <f t="shared" si="6"/>
        <v>0.9374984615384615</v>
      </c>
      <c r="W12" s="28">
        <f t="shared" si="13"/>
        <v>0.79082560574939065</v>
      </c>
      <c r="X12" s="28">
        <f t="shared" si="7"/>
        <v>0.9127773627193484</v>
      </c>
      <c r="Y12" s="29">
        <f t="shared" si="8"/>
        <v>0.87795458066934218</v>
      </c>
      <c r="AA12" s="27">
        <f t="shared" si="9"/>
        <v>0.89713692307692317</v>
      </c>
      <c r="AB12" s="28">
        <f t="shared" si="10"/>
        <v>0.65617422430272343</v>
      </c>
      <c r="AC12" s="28">
        <f t="shared" si="11"/>
        <v>1.049476609389421</v>
      </c>
      <c r="AD12" s="29">
        <f t="shared" si="12"/>
        <v>0.85169393327060439</v>
      </c>
    </row>
    <row r="13" spans="1:30" x14ac:dyDescent="0.25">
      <c r="A13" s="16" t="s">
        <v>10</v>
      </c>
      <c r="B13" s="3">
        <v>78.430700000000002</v>
      </c>
      <c r="C13" s="4">
        <v>71.494799999999998</v>
      </c>
      <c r="D13" s="5">
        <v>74.9101</v>
      </c>
      <c r="E13" s="3">
        <v>15.018879889999999</v>
      </c>
      <c r="F13" s="4">
        <v>14.03100014</v>
      </c>
      <c r="G13" s="5">
        <v>14.51303959</v>
      </c>
      <c r="H13" s="3">
        <v>12.868000029999999</v>
      </c>
      <c r="I13" s="4">
        <v>12.958559989999999</v>
      </c>
      <c r="J13" s="5">
        <v>12.91141987</v>
      </c>
      <c r="K13" s="9">
        <v>24848.667974688557</v>
      </c>
      <c r="L13" s="10">
        <v>36813.100188797282</v>
      </c>
      <c r="M13" s="11">
        <v>30690.485519999998</v>
      </c>
      <c r="O13" s="27">
        <f t="shared" si="0"/>
        <v>0.84477076923076921</v>
      </c>
      <c r="P13" s="28">
        <f t="shared" si="1"/>
        <v>0.83307539949635401</v>
      </c>
      <c r="Q13" s="28">
        <f t="shared" si="2"/>
        <v>0.86502635287907037</v>
      </c>
      <c r="R13" s="28">
        <f t="shared" si="3"/>
        <v>0.84752173008537635</v>
      </c>
      <c r="S13" s="28">
        <f t="shared" si="4"/>
        <v>10</v>
      </c>
      <c r="T13" s="29" t="str">
        <f t="shared" si="5"/>
        <v>Very High</v>
      </c>
      <c r="V13" s="27">
        <f t="shared" si="6"/>
        <v>0.89893384615384619</v>
      </c>
      <c r="W13" s="28">
        <f t="shared" si="13"/>
        <v>0.84604296116092681</v>
      </c>
      <c r="X13" s="28">
        <f t="shared" si="7"/>
        <v>0.83313115571458352</v>
      </c>
      <c r="Y13" s="29">
        <f t="shared" si="8"/>
        <v>0.85890376853310102</v>
      </c>
      <c r="AA13" s="27">
        <f t="shared" si="9"/>
        <v>0.7922276923076923</v>
      </c>
      <c r="AB13" s="28">
        <f t="shared" si="10"/>
        <v>0.82061755659965419</v>
      </c>
      <c r="AC13" s="28">
        <f t="shared" si="11"/>
        <v>0.89250355303997864</v>
      </c>
      <c r="AD13" s="29">
        <f t="shared" si="12"/>
        <v>0.83406569481103587</v>
      </c>
    </row>
    <row r="14" spans="1:30" x14ac:dyDescent="0.25">
      <c r="A14" s="16" t="s">
        <v>11</v>
      </c>
      <c r="B14" s="3">
        <v>77.921099999999996</v>
      </c>
      <c r="C14" s="4">
        <v>71.104699999999994</v>
      </c>
      <c r="D14" s="5">
        <v>74.530100000000004</v>
      </c>
      <c r="E14" s="3">
        <v>15.30526079</v>
      </c>
      <c r="F14" s="4">
        <v>14.77280122</v>
      </c>
      <c r="G14" s="5">
        <v>15.0336281</v>
      </c>
      <c r="H14" s="3">
        <v>12.096989629999999</v>
      </c>
      <c r="I14" s="4">
        <v>12.42362022</v>
      </c>
      <c r="J14" s="5">
        <v>12.24958992</v>
      </c>
      <c r="K14" s="9">
        <v>25908.868426218029</v>
      </c>
      <c r="L14" s="10">
        <v>40262.248763191739</v>
      </c>
      <c r="M14" s="11">
        <v>32789.010629999997</v>
      </c>
      <c r="O14" s="27">
        <f t="shared" si="0"/>
        <v>0.83892461538461549</v>
      </c>
      <c r="P14" s="28">
        <f t="shared" si="1"/>
        <v>0.82586829555948493</v>
      </c>
      <c r="Q14" s="28">
        <f t="shared" si="2"/>
        <v>0.87501728904789799</v>
      </c>
      <c r="R14" s="28">
        <f t="shared" si="3"/>
        <v>0.84635024046985052</v>
      </c>
      <c r="S14" s="28">
        <f t="shared" si="4"/>
        <v>11</v>
      </c>
      <c r="T14" s="29" t="str">
        <f t="shared" si="5"/>
        <v>Very High</v>
      </c>
      <c r="V14" s="27">
        <f t="shared" si="6"/>
        <v>0.89109384615384613</v>
      </c>
      <c r="W14" s="28">
        <f t="shared" si="13"/>
        <v>0.8280892353531033</v>
      </c>
      <c r="X14" s="28">
        <f t="shared" si="7"/>
        <v>0.83944244119345202</v>
      </c>
      <c r="Y14" s="29">
        <f t="shared" si="8"/>
        <v>0.85244002956820286</v>
      </c>
      <c r="AA14" s="27">
        <f t="shared" si="9"/>
        <v>0.7862261538461538</v>
      </c>
      <c r="AB14" s="28">
        <f t="shared" si="10"/>
        <v>0.82446766651070225</v>
      </c>
      <c r="AC14" s="28">
        <f t="shared" si="11"/>
        <v>0.90603218129744856</v>
      </c>
      <c r="AD14" s="29">
        <f t="shared" si="12"/>
        <v>0.8374423368854802</v>
      </c>
    </row>
    <row r="15" spans="1:30" x14ac:dyDescent="0.25">
      <c r="A15" s="16" t="s">
        <v>12</v>
      </c>
      <c r="B15" s="3">
        <v>77.889799999999994</v>
      </c>
      <c r="C15" s="4">
        <v>70.636399999999995</v>
      </c>
      <c r="D15" s="5">
        <v>74.184700000000007</v>
      </c>
      <c r="E15" s="3">
        <v>14.7216301</v>
      </c>
      <c r="F15" s="4">
        <v>13.77198982</v>
      </c>
      <c r="G15" s="5">
        <v>14.22990036</v>
      </c>
      <c r="H15" s="3">
        <v>10.98981953</v>
      </c>
      <c r="I15" s="4">
        <v>11.58393002</v>
      </c>
      <c r="J15" s="5">
        <v>11.275119780000001</v>
      </c>
      <c r="K15" s="9">
        <v>24554.476731983166</v>
      </c>
      <c r="L15" s="10">
        <v>35874.097597932952</v>
      </c>
      <c r="M15" s="11">
        <v>30027.291310000001</v>
      </c>
      <c r="O15" s="27">
        <f t="shared" si="0"/>
        <v>0.83361076923076938</v>
      </c>
      <c r="P15" s="28">
        <f t="shared" si="1"/>
        <v>0.77086731100241435</v>
      </c>
      <c r="Q15" s="28">
        <f t="shared" si="2"/>
        <v>0.86172638783306643</v>
      </c>
      <c r="R15" s="28">
        <f t="shared" si="3"/>
        <v>0.82117826533520555</v>
      </c>
      <c r="S15" s="28">
        <f t="shared" si="4"/>
        <v>12</v>
      </c>
      <c r="T15" s="29" t="str">
        <f t="shared" si="5"/>
        <v>Very High</v>
      </c>
      <c r="V15" s="27">
        <f t="shared" si="6"/>
        <v>0.89061230769230759</v>
      </c>
      <c r="W15" s="28">
        <f t="shared" si="13"/>
        <v>0.77408980717957909</v>
      </c>
      <c r="X15" s="28">
        <f t="shared" si="7"/>
        <v>0.83133208810892356</v>
      </c>
      <c r="Y15" s="29">
        <f t="shared" si="8"/>
        <v>0.83065024043416769</v>
      </c>
      <c r="AA15" s="27">
        <f t="shared" si="9"/>
        <v>0.77902153846153843</v>
      </c>
      <c r="AB15" s="28">
        <f t="shared" si="10"/>
        <v>0.7686779567230817</v>
      </c>
      <c r="AC15" s="28">
        <f t="shared" si="11"/>
        <v>0.88860053796535021</v>
      </c>
      <c r="AD15" s="29">
        <f t="shared" si="12"/>
        <v>0.81033914971370935</v>
      </c>
    </row>
    <row r="16" spans="1:30" x14ac:dyDescent="0.25">
      <c r="A16" s="16" t="s">
        <v>13</v>
      </c>
      <c r="B16" s="3">
        <v>75.482399999999998</v>
      </c>
      <c r="C16" s="4">
        <v>68.435000000000002</v>
      </c>
      <c r="D16" s="5">
        <v>71.798000000000002</v>
      </c>
      <c r="E16" s="3">
        <v>14.17173004</v>
      </c>
      <c r="F16" s="4">
        <v>13.64058971</v>
      </c>
      <c r="G16" s="5">
        <v>13.897290229999999</v>
      </c>
      <c r="H16" s="3">
        <v>11.50780964</v>
      </c>
      <c r="I16" s="4">
        <v>11.30865955</v>
      </c>
      <c r="J16" s="5">
        <v>11.413180349999999</v>
      </c>
      <c r="K16" s="9">
        <v>18109.389355873082</v>
      </c>
      <c r="L16" s="10">
        <v>28356.815122442644</v>
      </c>
      <c r="M16" s="11">
        <v>23078.95595</v>
      </c>
      <c r="O16" s="27">
        <f t="shared" si="0"/>
        <v>0.79689230769230768</v>
      </c>
      <c r="P16" s="28">
        <f t="shared" si="1"/>
        <v>0.76645475276873898</v>
      </c>
      <c r="Q16" s="28">
        <f t="shared" si="2"/>
        <v>0.82197071357274665</v>
      </c>
      <c r="R16" s="28">
        <f t="shared" si="3"/>
        <v>0.79478104353295964</v>
      </c>
      <c r="S16" s="28">
        <f t="shared" si="4"/>
        <v>13</v>
      </c>
      <c r="T16" s="29" t="str">
        <f t="shared" si="5"/>
        <v>High</v>
      </c>
      <c r="V16" s="27">
        <f t="shared" si="6"/>
        <v>0.85357538461538462</v>
      </c>
      <c r="W16" s="28">
        <f t="shared" si="13"/>
        <v>0.77718764493760784</v>
      </c>
      <c r="X16" s="28">
        <f t="shared" si="7"/>
        <v>0.7853411108168431</v>
      </c>
      <c r="Y16" s="29">
        <f t="shared" si="8"/>
        <v>0.80465312247585019</v>
      </c>
      <c r="AA16" s="27">
        <f t="shared" si="9"/>
        <v>0.74515384615384617</v>
      </c>
      <c r="AB16" s="28">
        <f t="shared" si="10"/>
        <v>0.7558580728319777</v>
      </c>
      <c r="AC16" s="28">
        <f t="shared" si="11"/>
        <v>0.85308006579644824</v>
      </c>
      <c r="AD16" s="29">
        <f t="shared" si="12"/>
        <v>0.78323484257033238</v>
      </c>
    </row>
    <row r="17" spans="1:30" x14ac:dyDescent="0.25">
      <c r="A17" s="16" t="s">
        <v>14</v>
      </c>
      <c r="B17" s="3">
        <v>79.359399999999994</v>
      </c>
      <c r="C17" s="4">
        <v>75.629199999999997</v>
      </c>
      <c r="D17" s="5">
        <v>77.571399999999997</v>
      </c>
      <c r="E17" s="3">
        <v>17.698554590000001</v>
      </c>
      <c r="F17" s="4">
        <v>13.76279051</v>
      </c>
      <c r="G17" s="5">
        <v>15.71338458</v>
      </c>
      <c r="H17" s="3">
        <v>10.28248279</v>
      </c>
      <c r="I17" s="4">
        <v>9.0888738730000007</v>
      </c>
      <c r="J17" s="5">
        <v>9.852700596</v>
      </c>
      <c r="K17" s="9">
        <v>10235.214344664833</v>
      </c>
      <c r="L17" s="10">
        <v>14554.614048128153</v>
      </c>
      <c r="M17" s="11">
        <v>12306.341</v>
      </c>
      <c r="O17" s="27">
        <f t="shared" si="0"/>
        <v>0.88571384615384607</v>
      </c>
      <c r="P17" s="28">
        <f t="shared" si="1"/>
        <v>0.75723491539832477</v>
      </c>
      <c r="Q17" s="28">
        <f t="shared" si="2"/>
        <v>0.72698588079676896</v>
      </c>
      <c r="R17" s="28">
        <f t="shared" si="3"/>
        <v>0.78707601897135404</v>
      </c>
      <c r="S17" s="28">
        <f t="shared" si="4"/>
        <v>14</v>
      </c>
      <c r="T17" s="29" t="str">
        <f t="shared" si="5"/>
        <v>High</v>
      </c>
      <c r="V17" s="27">
        <f t="shared" si="6"/>
        <v>0.91322153846153842</v>
      </c>
      <c r="W17" s="28">
        <f t="shared" si="13"/>
        <v>0.82098649553460201</v>
      </c>
      <c r="X17" s="28">
        <f t="shared" si="7"/>
        <v>0.69914925557684704</v>
      </c>
      <c r="Y17" s="29">
        <f t="shared" si="8"/>
        <v>0.80629509831644308</v>
      </c>
      <c r="AA17" s="27">
        <f t="shared" si="9"/>
        <v>0.85583384615384617</v>
      </c>
      <c r="AB17" s="28">
        <f t="shared" si="10"/>
        <v>0.68065400762499595</v>
      </c>
      <c r="AC17" s="28">
        <f t="shared" si="11"/>
        <v>0.75233203586593467</v>
      </c>
      <c r="AD17" s="29">
        <f t="shared" si="12"/>
        <v>0.75958283094562251</v>
      </c>
    </row>
    <row r="18" spans="1:30" x14ac:dyDescent="0.25">
      <c r="A18" s="16" t="s">
        <v>15</v>
      </c>
      <c r="B18" s="3">
        <v>81.154600000000002</v>
      </c>
      <c r="C18" s="4">
        <v>75.463399999999993</v>
      </c>
      <c r="D18" s="5">
        <v>78.210700000000003</v>
      </c>
      <c r="E18" s="3">
        <v>14.77470471</v>
      </c>
      <c r="F18" s="4">
        <v>13.697525089999999</v>
      </c>
      <c r="G18" s="5">
        <v>14.2361149</v>
      </c>
      <c r="H18" s="3">
        <v>7.3346080499999999</v>
      </c>
      <c r="I18" s="4">
        <v>7.8618522119999996</v>
      </c>
      <c r="J18" s="5">
        <v>7.6001184459999998</v>
      </c>
      <c r="K18" s="9">
        <v>13979.689709764411</v>
      </c>
      <c r="L18" s="10">
        <v>20882.866369159408</v>
      </c>
      <c r="M18" s="11">
        <v>17504.399689999998</v>
      </c>
      <c r="O18" s="27">
        <f t="shared" si="0"/>
        <v>0.89554923076923076</v>
      </c>
      <c r="P18" s="28">
        <f t="shared" si="1"/>
        <v>0.63302963318053829</v>
      </c>
      <c r="Q18" s="28">
        <f t="shared" si="2"/>
        <v>0.78020849498872669</v>
      </c>
      <c r="R18" s="28">
        <f t="shared" si="3"/>
        <v>0.76191769544435284</v>
      </c>
      <c r="S18" s="28">
        <f t="shared" si="4"/>
        <v>18</v>
      </c>
      <c r="T18" s="29" t="str">
        <f t="shared" si="5"/>
        <v>High</v>
      </c>
      <c r="V18" s="27">
        <f t="shared" si="6"/>
        <v>0.94084000000000001</v>
      </c>
      <c r="W18" s="28">
        <f t="shared" si="13"/>
        <v>0.6335282393142887</v>
      </c>
      <c r="X18" s="28">
        <f t="shared" si="7"/>
        <v>0.74624410941322061</v>
      </c>
      <c r="Y18" s="29">
        <f t="shared" si="8"/>
        <v>0.76334504197095387</v>
      </c>
      <c r="AA18" s="27">
        <f t="shared" si="9"/>
        <v>0.85328307692307681</v>
      </c>
      <c r="AB18" s="28">
        <f t="shared" si="10"/>
        <v>0.63154108375712059</v>
      </c>
      <c r="AC18" s="28">
        <f t="shared" si="11"/>
        <v>0.80686632279746018</v>
      </c>
      <c r="AD18" s="29">
        <f t="shared" si="12"/>
        <v>0.75758629558726642</v>
      </c>
    </row>
    <row r="19" spans="1:30" x14ac:dyDescent="0.25">
      <c r="A19" s="16" t="s">
        <v>16</v>
      </c>
      <c r="B19" s="3">
        <v>76.291399999999996</v>
      </c>
      <c r="C19" s="4">
        <v>69.297799999999995</v>
      </c>
      <c r="D19" s="5">
        <v>72.614599999999996</v>
      </c>
      <c r="E19" s="3">
        <v>15.352465479999999</v>
      </c>
      <c r="F19" s="4">
        <v>13.57888472</v>
      </c>
      <c r="G19" s="5">
        <v>14.466558020000001</v>
      </c>
      <c r="H19" s="3">
        <v>9.6072074549999993</v>
      </c>
      <c r="I19" s="4">
        <v>8.9882416359999997</v>
      </c>
      <c r="J19" s="5">
        <v>9.3068641070000009</v>
      </c>
      <c r="K19" s="9">
        <v>13695.311460043677</v>
      </c>
      <c r="L19" s="10">
        <v>22248.061251116585</v>
      </c>
      <c r="M19" s="11">
        <v>17989.60037</v>
      </c>
      <c r="O19" s="27">
        <f t="shared" si="0"/>
        <v>0.80945538461538458</v>
      </c>
      <c r="P19" s="28">
        <f t="shared" si="1"/>
        <v>0.70615885734588135</v>
      </c>
      <c r="Q19" s="28">
        <f t="shared" si="2"/>
        <v>0.78433859637382264</v>
      </c>
      <c r="R19" s="28">
        <f t="shared" si="3"/>
        <v>0.76536095812381832</v>
      </c>
      <c r="S19" s="28">
        <f t="shared" si="4"/>
        <v>16</v>
      </c>
      <c r="T19" s="29" t="str">
        <f t="shared" si="5"/>
        <v>High</v>
      </c>
      <c r="V19" s="27">
        <f t="shared" si="6"/>
        <v>0.8660215384615384</v>
      </c>
      <c r="W19" s="28">
        <f t="shared" si="13"/>
        <v>0.73910436493568743</v>
      </c>
      <c r="X19" s="28">
        <f t="shared" si="7"/>
        <v>0.74313961259635186</v>
      </c>
      <c r="Y19" s="29">
        <f t="shared" si="8"/>
        <v>0.7806115221829425</v>
      </c>
      <c r="AA19" s="27">
        <f t="shared" si="9"/>
        <v>0.75842769230769225</v>
      </c>
      <c r="AB19" s="28">
        <f t="shared" si="10"/>
        <v>0.67233781470094722</v>
      </c>
      <c r="AC19" s="28">
        <f t="shared" si="11"/>
        <v>0.81643205360583793</v>
      </c>
      <c r="AD19" s="29">
        <f t="shared" si="12"/>
        <v>0.74669043663278623</v>
      </c>
    </row>
    <row r="20" spans="1:30" x14ac:dyDescent="0.25">
      <c r="A20" s="16" t="s">
        <v>17</v>
      </c>
      <c r="B20" s="3">
        <v>73.546599999999998</v>
      </c>
      <c r="C20" s="4">
        <v>64.443299999999994</v>
      </c>
      <c r="D20" s="5">
        <v>68.8459</v>
      </c>
      <c r="E20" s="3">
        <v>14.752630229999999</v>
      </c>
      <c r="F20" s="4">
        <v>14.123579980000001</v>
      </c>
      <c r="G20" s="5">
        <v>14.43299961</v>
      </c>
      <c r="H20" s="3">
        <v>11.85783958</v>
      </c>
      <c r="I20" s="4">
        <v>11.781069759999999</v>
      </c>
      <c r="J20" s="5">
        <v>11.82159042</v>
      </c>
      <c r="K20" s="9">
        <v>12086.960917594937</v>
      </c>
      <c r="L20" s="10">
        <v>17961.1685357807</v>
      </c>
      <c r="M20" s="11">
        <v>14875.331889999999</v>
      </c>
      <c r="O20" s="27">
        <f t="shared" si="0"/>
        <v>0.75147538461538466</v>
      </c>
      <c r="P20" s="28">
        <f t="shared" si="1"/>
        <v>0.79494003948455305</v>
      </c>
      <c r="Q20" s="28">
        <f t="shared" si="2"/>
        <v>0.75562447726032833</v>
      </c>
      <c r="R20" s="28">
        <f t="shared" si="3"/>
        <v>0.76709952953950833</v>
      </c>
      <c r="S20" s="28">
        <f t="shared" si="4"/>
        <v>15</v>
      </c>
      <c r="T20" s="29" t="str">
        <f t="shared" si="5"/>
        <v>High</v>
      </c>
      <c r="V20" s="27">
        <f t="shared" si="6"/>
        <v>0.8237938461538461</v>
      </c>
      <c r="W20" s="28">
        <f t="shared" si="13"/>
        <v>0.80492539946580122</v>
      </c>
      <c r="X20" s="28">
        <f t="shared" si="7"/>
        <v>0.72426878145571649</v>
      </c>
      <c r="Y20" s="29">
        <f t="shared" si="8"/>
        <v>0.78311338508917205</v>
      </c>
      <c r="AA20" s="27">
        <f t="shared" si="9"/>
        <v>0.68374307692307679</v>
      </c>
      <c r="AB20" s="28">
        <f t="shared" si="10"/>
        <v>0.78502389915334669</v>
      </c>
      <c r="AC20" s="28">
        <f t="shared" si="11"/>
        <v>0.78409967005660741</v>
      </c>
      <c r="AD20" s="29">
        <f t="shared" si="12"/>
        <v>0.74940346573135785</v>
      </c>
    </row>
    <row r="21" spans="1:30" x14ac:dyDescent="0.25">
      <c r="A21" s="16" t="s">
        <v>18</v>
      </c>
      <c r="B21" s="3">
        <v>76.358500000000006</v>
      </c>
      <c r="C21" s="4">
        <v>71.244600000000005</v>
      </c>
      <c r="D21" s="5">
        <v>73.682900000000004</v>
      </c>
      <c r="E21" s="3">
        <v>15.102979660000001</v>
      </c>
      <c r="F21" s="4">
        <v>13.816969869999999</v>
      </c>
      <c r="G21" s="5">
        <v>14.44305992</v>
      </c>
      <c r="H21" s="3">
        <v>12.593686269999999</v>
      </c>
      <c r="I21" s="4">
        <v>12.40169983</v>
      </c>
      <c r="J21" s="5">
        <v>12.497734380000001</v>
      </c>
      <c r="K21" s="9">
        <v>5103.3485544723972</v>
      </c>
      <c r="L21" s="10">
        <v>10693.007683961792</v>
      </c>
      <c r="M21" s="11">
        <v>7878.8474820000001</v>
      </c>
      <c r="O21" s="27">
        <f t="shared" si="0"/>
        <v>0.82589076923076932</v>
      </c>
      <c r="P21" s="28">
        <f t="shared" si="1"/>
        <v>0.81764233445379531</v>
      </c>
      <c r="Q21" s="28">
        <f t="shared" si="2"/>
        <v>0.65962514179298948</v>
      </c>
      <c r="R21" s="28">
        <f t="shared" si="3"/>
        <v>0.76370868132717651</v>
      </c>
      <c r="S21" s="28">
        <f t="shared" si="4"/>
        <v>17</v>
      </c>
      <c r="T21" s="29" t="str">
        <f t="shared" si="5"/>
        <v>High</v>
      </c>
      <c r="V21" s="27">
        <f t="shared" si="6"/>
        <v>0.86705384615384629</v>
      </c>
      <c r="W21" s="28">
        <f t="shared" si="13"/>
        <v>0.83931671411538644</v>
      </c>
      <c r="X21" s="28">
        <f t="shared" si="7"/>
        <v>0.59402394413094406</v>
      </c>
      <c r="Y21" s="29">
        <f t="shared" si="8"/>
        <v>0.75612215587605525</v>
      </c>
      <c r="AA21" s="27">
        <f t="shared" si="9"/>
        <v>0.78837846153846158</v>
      </c>
      <c r="AB21" s="28">
        <f t="shared" si="10"/>
        <v>0.79664554339242699</v>
      </c>
      <c r="AC21" s="28">
        <f t="shared" si="11"/>
        <v>0.70575883190488464</v>
      </c>
      <c r="AD21" s="29">
        <f t="shared" si="12"/>
        <v>0.76246293141914157</v>
      </c>
    </row>
    <row r="22" spans="1:30" x14ac:dyDescent="0.25">
      <c r="A22" s="16" t="s">
        <v>19</v>
      </c>
      <c r="B22" s="3">
        <v>74.746200000000002</v>
      </c>
      <c r="C22" s="4">
        <v>70.120599999999996</v>
      </c>
      <c r="D22" s="5">
        <v>72.376900000000006</v>
      </c>
      <c r="E22" s="3">
        <v>15.225974000000001</v>
      </c>
      <c r="F22" s="4">
        <v>15.54962308</v>
      </c>
      <c r="G22" s="5">
        <v>15.387733539999999</v>
      </c>
      <c r="H22" s="3">
        <v>9.325330482</v>
      </c>
      <c r="I22" s="4">
        <v>10.45869538</v>
      </c>
      <c r="J22" s="5">
        <v>9.8855188629999997</v>
      </c>
      <c r="K22" s="9">
        <v>9812.5355964460541</v>
      </c>
      <c r="L22" s="10">
        <v>14726.658021578218</v>
      </c>
      <c r="M22" s="11">
        <v>12245.89366</v>
      </c>
      <c r="O22" s="27">
        <f t="shared" si="0"/>
        <v>0.80579846153846169</v>
      </c>
      <c r="P22" s="28">
        <f t="shared" si="1"/>
        <v>0.75059416012690983</v>
      </c>
      <c r="Q22" s="28">
        <f t="shared" si="2"/>
        <v>0.72624208409322144</v>
      </c>
      <c r="R22" s="28">
        <f t="shared" si="3"/>
        <v>0.76015882580943395</v>
      </c>
      <c r="S22" s="28">
        <f t="shared" si="4"/>
        <v>19</v>
      </c>
      <c r="T22" s="29" t="str">
        <f t="shared" si="5"/>
        <v>High</v>
      </c>
      <c r="V22" s="27">
        <f t="shared" si="6"/>
        <v>0.84224923076923075</v>
      </c>
      <c r="W22" s="28">
        <f t="shared" si="13"/>
        <v>0.72517492004889683</v>
      </c>
      <c r="X22" s="28">
        <f t="shared" si="7"/>
        <v>0.69277871417421699</v>
      </c>
      <c r="Y22" s="29">
        <f t="shared" si="8"/>
        <v>0.75074533926090814</v>
      </c>
      <c r="AA22" s="27">
        <f t="shared" si="9"/>
        <v>0.77108615384615375</v>
      </c>
      <c r="AB22" s="28">
        <f t="shared" si="10"/>
        <v>0.77609843559410674</v>
      </c>
      <c r="AC22" s="28">
        <f t="shared" si="11"/>
        <v>0.75410713137685703</v>
      </c>
      <c r="AD22" s="29">
        <f t="shared" si="12"/>
        <v>0.76703924847339744</v>
      </c>
    </row>
    <row r="23" spans="1:30" x14ac:dyDescent="0.25">
      <c r="A23" s="16" t="s">
        <v>20</v>
      </c>
      <c r="B23" s="3">
        <v>81.019300000000001</v>
      </c>
      <c r="C23" s="4">
        <v>79.081999999999994</v>
      </c>
      <c r="D23" s="5">
        <v>79.918199999999999</v>
      </c>
      <c r="E23" s="3">
        <v>14.174189569999999</v>
      </c>
      <c r="F23" s="4">
        <v>11.93892956</v>
      </c>
      <c r="G23" s="5">
        <v>12.635609629999999</v>
      </c>
      <c r="H23" s="3">
        <v>7.12</v>
      </c>
      <c r="I23" s="4">
        <v>7.5279999999999996</v>
      </c>
      <c r="J23" s="5">
        <v>7.3220000000000001</v>
      </c>
      <c r="K23" s="9">
        <v>6358.7365347176019</v>
      </c>
      <c r="L23" s="10">
        <v>22119.149013524115</v>
      </c>
      <c r="M23" s="11">
        <v>15448.12788</v>
      </c>
      <c r="O23" s="27">
        <f t="shared" si="0"/>
        <v>0.92181846153846148</v>
      </c>
      <c r="P23" s="28">
        <f t="shared" si="1"/>
        <v>0.58537083438101523</v>
      </c>
      <c r="Q23" s="28">
        <f t="shared" si="2"/>
        <v>0.76133190056093025</v>
      </c>
      <c r="R23" s="28">
        <f t="shared" si="3"/>
        <v>0.74339020842243153</v>
      </c>
      <c r="S23" s="28">
        <f t="shared" si="4"/>
        <v>20</v>
      </c>
      <c r="T23" s="29" t="str">
        <f t="shared" si="5"/>
        <v>High</v>
      </c>
      <c r="V23" s="27">
        <f t="shared" si="6"/>
        <v>0.93875846153846154</v>
      </c>
      <c r="W23" s="28">
        <f t="shared" si="13"/>
        <v>0.61137437684346962</v>
      </c>
      <c r="X23" s="28">
        <f t="shared" si="7"/>
        <v>0.62724605348042672</v>
      </c>
      <c r="Y23" s="29">
        <f t="shared" si="8"/>
        <v>0.71137676869979116</v>
      </c>
      <c r="AA23" s="27">
        <f t="shared" si="9"/>
        <v>0.908953846153846</v>
      </c>
      <c r="AB23" s="28">
        <f t="shared" si="10"/>
        <v>0.57695324198400333</v>
      </c>
      <c r="AC23" s="28">
        <f t="shared" si="11"/>
        <v>0.81555424375407337</v>
      </c>
      <c r="AD23" s="29">
        <f t="shared" si="12"/>
        <v>0.75343380215049882</v>
      </c>
    </row>
    <row r="24" spans="1:30" x14ac:dyDescent="0.25">
      <c r="A24" s="16" t="s">
        <v>21</v>
      </c>
      <c r="B24" s="3">
        <v>72.421899999999994</v>
      </c>
      <c r="C24" s="4">
        <v>68.200400000000002</v>
      </c>
      <c r="D24" s="5">
        <v>70.377899999999997</v>
      </c>
      <c r="E24" s="3">
        <v>11.4617644</v>
      </c>
      <c r="F24" s="4">
        <v>12.67899669</v>
      </c>
      <c r="G24" s="5">
        <v>12.087473170000001</v>
      </c>
      <c r="H24" s="3">
        <v>7.2480476740000004</v>
      </c>
      <c r="I24" s="4">
        <v>8.4260821309999994</v>
      </c>
      <c r="J24" s="5">
        <v>7.9055934890000001</v>
      </c>
      <c r="K24" s="9">
        <v>2184.1250749067058</v>
      </c>
      <c r="L24" s="10">
        <v>17748.483766214631</v>
      </c>
      <c r="M24" s="11">
        <v>9977.2490730000009</v>
      </c>
      <c r="O24" s="27">
        <f t="shared" si="0"/>
        <v>0.77504461538461533</v>
      </c>
      <c r="P24" s="28">
        <f t="shared" si="1"/>
        <v>0.59491253384881959</v>
      </c>
      <c r="Q24" s="28">
        <f t="shared" si="2"/>
        <v>0.69529329325122025</v>
      </c>
      <c r="R24" s="28">
        <f t="shared" si="3"/>
        <v>0.68440938179882527</v>
      </c>
      <c r="S24" s="28">
        <f t="shared" si="4"/>
        <v>21</v>
      </c>
      <c r="T24" s="29" t="str">
        <f t="shared" si="5"/>
        <v>Medium</v>
      </c>
      <c r="V24" s="27">
        <f t="shared" si="6"/>
        <v>0.80649076923076912</v>
      </c>
      <c r="W24" s="28">
        <f t="shared" si="13"/>
        <v>0.55469516085783221</v>
      </c>
      <c r="X24" s="28">
        <f t="shared" si="7"/>
        <v>0.46582572756523027</v>
      </c>
      <c r="Y24" s="29">
        <f t="shared" si="8"/>
        <v>0.5928694648597469</v>
      </c>
      <c r="AA24" s="27">
        <f t="shared" si="9"/>
        <v>0.74154461538461547</v>
      </c>
      <c r="AB24" s="28">
        <f t="shared" si="10"/>
        <v>0.6290329657751772</v>
      </c>
      <c r="AC24" s="28">
        <f t="shared" si="11"/>
        <v>0.7823002891473203</v>
      </c>
      <c r="AD24" s="29">
        <f t="shared" si="12"/>
        <v>0.71459733824934824</v>
      </c>
    </row>
    <row r="25" spans="1:30" x14ac:dyDescent="0.25">
      <c r="A25" s="16" t="s">
        <v>22</v>
      </c>
      <c r="B25" s="3">
        <v>73.733900000000006</v>
      </c>
      <c r="C25" s="4">
        <v>69.568200000000004</v>
      </c>
      <c r="D25" s="5">
        <v>71.594200000000001</v>
      </c>
      <c r="E25" s="3">
        <v>11.17689865</v>
      </c>
      <c r="F25" s="4">
        <v>12.102522309999999</v>
      </c>
      <c r="G25" s="5">
        <v>11.653036180000001</v>
      </c>
      <c r="H25" s="3">
        <v>10.880144169999999</v>
      </c>
      <c r="I25" s="4">
        <v>11.761794549999999</v>
      </c>
      <c r="J25" s="5">
        <v>11.3333938</v>
      </c>
      <c r="K25" s="9">
        <v>2980.0880910959399</v>
      </c>
      <c r="L25" s="10">
        <v>6095.5150374654377</v>
      </c>
      <c r="M25" s="11">
        <v>4547.7424270000001</v>
      </c>
      <c r="O25" s="27">
        <f t="shared" si="0"/>
        <v>0.79375692307692314</v>
      </c>
      <c r="P25" s="28">
        <f t="shared" si="1"/>
        <v>0.69938716028838466</v>
      </c>
      <c r="Q25" s="28">
        <f t="shared" si="2"/>
        <v>0.57661235968936098</v>
      </c>
      <c r="R25" s="28">
        <f t="shared" si="3"/>
        <v>0.68406343391103541</v>
      </c>
      <c r="S25" s="28">
        <f t="shared" si="4"/>
        <v>22</v>
      </c>
      <c r="T25" s="29" t="str">
        <f t="shared" si="5"/>
        <v>Medium</v>
      </c>
      <c r="V25" s="27">
        <f t="shared" si="6"/>
        <v>0.8266753846153847</v>
      </c>
      <c r="W25" s="28">
        <f t="shared" si="13"/>
        <v>0.67111369209992577</v>
      </c>
      <c r="X25" s="28">
        <f t="shared" si="7"/>
        <v>0.51276441331439704</v>
      </c>
      <c r="Y25" s="29">
        <f t="shared" si="8"/>
        <v>0.65768256268240255</v>
      </c>
      <c r="AA25" s="27">
        <f t="shared" si="9"/>
        <v>0.76258769230769241</v>
      </c>
      <c r="AB25" s="28">
        <f t="shared" si="10"/>
        <v>0.72609401734621681</v>
      </c>
      <c r="AC25" s="28">
        <f t="shared" si="11"/>
        <v>0.62085995513430292</v>
      </c>
      <c r="AD25" s="29">
        <f t="shared" si="12"/>
        <v>0.70052789427379036</v>
      </c>
    </row>
    <row r="26" spans="1:30" x14ac:dyDescent="0.25">
      <c r="A26" s="16" t="s">
        <v>23</v>
      </c>
      <c r="B26" s="3">
        <v>74.3322</v>
      </c>
      <c r="C26" s="4">
        <v>67.118700000000004</v>
      </c>
      <c r="D26" s="5">
        <v>70.469700000000003</v>
      </c>
      <c r="E26" s="3">
        <v>13.29214954</v>
      </c>
      <c r="F26" s="4">
        <v>12.681229589999999</v>
      </c>
      <c r="G26" s="5">
        <v>12.99168968</v>
      </c>
      <c r="H26" s="3">
        <v>9.0420703889999992</v>
      </c>
      <c r="I26" s="4">
        <v>8.6528902050000003</v>
      </c>
      <c r="J26" s="5">
        <v>8.8475999830000003</v>
      </c>
      <c r="K26" s="9">
        <v>4248.5433803035594</v>
      </c>
      <c r="L26" s="10">
        <v>8344.7735060891864</v>
      </c>
      <c r="M26" s="11">
        <v>6309.0997779999998</v>
      </c>
      <c r="O26" s="27">
        <f t="shared" si="0"/>
        <v>0.77645692307692316</v>
      </c>
      <c r="P26" s="28">
        <f t="shared" si="1"/>
        <v>0.65247470049408751</v>
      </c>
      <c r="Q26" s="28">
        <f t="shared" si="2"/>
        <v>0.62606227516546298</v>
      </c>
      <c r="R26" s="28">
        <f t="shared" si="3"/>
        <v>0.68197144850138525</v>
      </c>
      <c r="S26" s="28">
        <f t="shared" si="4"/>
        <v>23</v>
      </c>
      <c r="T26" s="29" t="str">
        <f t="shared" si="5"/>
        <v>Medium</v>
      </c>
      <c r="V26" s="27">
        <f t="shared" si="6"/>
        <v>0.83587999999999996</v>
      </c>
      <c r="W26" s="28">
        <f t="shared" si="13"/>
        <v>0.66719021598262418</v>
      </c>
      <c r="X26" s="28">
        <f t="shared" si="7"/>
        <v>0.56633229968500376</v>
      </c>
      <c r="Y26" s="29">
        <f t="shared" si="8"/>
        <v>0.68101233487153023</v>
      </c>
      <c r="AA26" s="27">
        <f t="shared" si="9"/>
        <v>0.72490307692307698</v>
      </c>
      <c r="AB26" s="28">
        <f t="shared" si="10"/>
        <v>0.63749883749107417</v>
      </c>
      <c r="AC26" s="28">
        <f t="shared" si="11"/>
        <v>0.66830386469196945</v>
      </c>
      <c r="AD26" s="29">
        <f t="shared" si="12"/>
        <v>0.67594460218713881</v>
      </c>
    </row>
    <row r="27" spans="1:30" x14ac:dyDescent="0.25">
      <c r="A27" s="16" t="s">
        <v>24</v>
      </c>
      <c r="B27" s="3">
        <v>76.3977</v>
      </c>
      <c r="C27" s="4">
        <v>71.892700000000005</v>
      </c>
      <c r="D27" s="5">
        <v>74.041899999999998</v>
      </c>
      <c r="E27" s="3">
        <v>13.910570140000001</v>
      </c>
      <c r="F27" s="4">
        <v>14.39321041</v>
      </c>
      <c r="G27" s="5">
        <v>14.151909829999999</v>
      </c>
      <c r="H27" s="3">
        <v>4.9880000000000004</v>
      </c>
      <c r="I27" s="4">
        <v>6.8659999999999997</v>
      </c>
      <c r="J27" s="5">
        <v>5.9160000000000004</v>
      </c>
      <c r="K27" s="9">
        <v>3193.5333011843904</v>
      </c>
      <c r="L27" s="10">
        <v>11356.023149511653</v>
      </c>
      <c r="M27" s="11">
        <v>7302.8191699999998</v>
      </c>
      <c r="O27" s="27">
        <f t="shared" si="0"/>
        <v>0.83141384615384617</v>
      </c>
      <c r="P27" s="28">
        <f t="shared" si="1"/>
        <v>0.55685192710410514</v>
      </c>
      <c r="Q27" s="28">
        <f t="shared" si="2"/>
        <v>0.64815681343760134</v>
      </c>
      <c r="R27" s="28">
        <f t="shared" si="3"/>
        <v>0.66949245990734363</v>
      </c>
      <c r="S27" s="28">
        <f t="shared" si="4"/>
        <v>25</v>
      </c>
      <c r="T27" s="29" t="str">
        <f t="shared" si="5"/>
        <v>Medium</v>
      </c>
      <c r="V27" s="27">
        <f t="shared" si="6"/>
        <v>0.8676569230769231</v>
      </c>
      <c r="W27" s="28">
        <f t="shared" si="13"/>
        <v>0.50693678420387189</v>
      </c>
      <c r="X27" s="28">
        <f t="shared" si="7"/>
        <v>0.52321370273428491</v>
      </c>
      <c r="Y27" s="29">
        <f t="shared" si="8"/>
        <v>0.61281160883142138</v>
      </c>
      <c r="AA27" s="27">
        <f t="shared" si="9"/>
        <v>0.79834923076923081</v>
      </c>
      <c r="AB27" s="28">
        <f t="shared" si="10"/>
        <v>0.6049909172108533</v>
      </c>
      <c r="AC27" s="28">
        <f t="shared" si="11"/>
        <v>0.71484607835777536</v>
      </c>
      <c r="AD27" s="29">
        <f t="shared" si="12"/>
        <v>0.70153837898549842</v>
      </c>
    </row>
    <row r="28" spans="1:30" x14ac:dyDescent="0.25">
      <c r="A28" s="16" t="s">
        <v>25</v>
      </c>
      <c r="B28" s="3">
        <v>75.149199999999993</v>
      </c>
      <c r="C28" s="4">
        <v>66.077500000000001</v>
      </c>
      <c r="D28" s="5">
        <v>70.747900000000001</v>
      </c>
      <c r="E28" s="3">
        <v>12.70825432</v>
      </c>
      <c r="F28" s="4">
        <v>12.6377241</v>
      </c>
      <c r="G28" s="5">
        <v>12.671347669999999</v>
      </c>
      <c r="H28" s="3">
        <v>6.7692799570000002</v>
      </c>
      <c r="I28" s="4">
        <v>7.6242699619999996</v>
      </c>
      <c r="J28" s="5">
        <v>7.150929928</v>
      </c>
      <c r="K28" s="9">
        <v>5823.6714016203732</v>
      </c>
      <c r="L28" s="10">
        <v>11014.953798484301</v>
      </c>
      <c r="M28" s="11">
        <v>8295.6658889999999</v>
      </c>
      <c r="O28" s="27">
        <f t="shared" si="0"/>
        <v>0.78073692307692311</v>
      </c>
      <c r="P28" s="28">
        <f t="shared" si="1"/>
        <v>0.57930967628944197</v>
      </c>
      <c r="Q28" s="28">
        <f t="shared" si="2"/>
        <v>0.66741230066843349</v>
      </c>
      <c r="R28" s="28">
        <f t="shared" si="3"/>
        <v>0.67081572714649718</v>
      </c>
      <c r="S28" s="28">
        <f t="shared" si="4"/>
        <v>24</v>
      </c>
      <c r="T28" s="29" t="str">
        <f t="shared" si="5"/>
        <v>Medium</v>
      </c>
      <c r="V28" s="27">
        <f t="shared" si="6"/>
        <v>0.84844923076923062</v>
      </c>
      <c r="W28" s="28">
        <f t="shared" si="13"/>
        <v>0.56445887314290488</v>
      </c>
      <c r="X28" s="28">
        <f t="shared" si="7"/>
        <v>0.61396843419528591</v>
      </c>
      <c r="Y28" s="29">
        <f t="shared" si="8"/>
        <v>0.66496900487390687</v>
      </c>
      <c r="AA28" s="27">
        <f t="shared" si="9"/>
        <v>0.70888461538461545</v>
      </c>
      <c r="AB28" s="28">
        <f t="shared" si="10"/>
        <v>0.59738138523142226</v>
      </c>
      <c r="AC28" s="28">
        <f t="shared" si="11"/>
        <v>0.71023971067016411</v>
      </c>
      <c r="AD28" s="29">
        <f t="shared" si="12"/>
        <v>0.67000400052583675</v>
      </c>
    </row>
    <row r="29" spans="1:30" x14ac:dyDescent="0.25">
      <c r="A29" s="16" t="s">
        <v>26</v>
      </c>
      <c r="B29" s="3">
        <v>66.013599999999997</v>
      </c>
      <c r="C29" s="4">
        <v>61.630400000000002</v>
      </c>
      <c r="D29" s="5">
        <v>63.795400000000001</v>
      </c>
      <c r="E29" s="3">
        <v>12.057029719999999</v>
      </c>
      <c r="F29" s="4">
        <v>12.03862</v>
      </c>
      <c r="G29" s="5">
        <v>12.047780039999999</v>
      </c>
      <c r="H29" s="3">
        <v>7.7799942790000003</v>
      </c>
      <c r="I29" s="4">
        <v>8.9690732359999998</v>
      </c>
      <c r="J29" s="5">
        <v>8.3298866950000008</v>
      </c>
      <c r="K29" s="9">
        <v>4723.2885463910279</v>
      </c>
      <c r="L29" s="10">
        <v>6770.8306674423138</v>
      </c>
      <c r="M29" s="11">
        <v>5744.5040170000002</v>
      </c>
      <c r="O29" s="27">
        <f t="shared" si="0"/>
        <v>0.67377538461538466</v>
      </c>
      <c r="P29" s="28">
        <f t="shared" si="1"/>
        <v>0.60966488262749297</v>
      </c>
      <c r="Q29" s="28">
        <f t="shared" si="2"/>
        <v>0.61190088707579893</v>
      </c>
      <c r="R29" s="28">
        <f t="shared" si="3"/>
        <v>0.63109654284190519</v>
      </c>
      <c r="S29" s="28">
        <f t="shared" si="4"/>
        <v>26</v>
      </c>
      <c r="T29" s="29" t="str">
        <f t="shared" si="5"/>
        <v>Medium</v>
      </c>
      <c r="V29" s="27">
        <f t="shared" si="6"/>
        <v>0.70790153846153836</v>
      </c>
      <c r="W29" s="28">
        <f t="shared" si="13"/>
        <v>0.58942414535159271</v>
      </c>
      <c r="X29" s="28">
        <f t="shared" si="7"/>
        <v>0.58233349626981978</v>
      </c>
      <c r="Y29" s="29">
        <f t="shared" si="8"/>
        <v>0.62400899516202124</v>
      </c>
      <c r="AA29" s="27">
        <f t="shared" si="9"/>
        <v>0.64046769230769229</v>
      </c>
      <c r="AB29" s="28">
        <f t="shared" si="10"/>
        <v>0.63238310130505637</v>
      </c>
      <c r="AC29" s="28">
        <f t="shared" si="11"/>
        <v>0.63673145887965921</v>
      </c>
      <c r="AD29" s="29">
        <f t="shared" si="12"/>
        <v>0.63651884136372261</v>
      </c>
    </row>
    <row r="30" spans="1:30" x14ac:dyDescent="0.25">
      <c r="A30" s="16" t="s">
        <v>27</v>
      </c>
      <c r="B30" s="3">
        <v>72.651399999999995</v>
      </c>
      <c r="C30" s="4">
        <v>66.004599999999996</v>
      </c>
      <c r="D30" s="5">
        <v>69.236800000000002</v>
      </c>
      <c r="E30" s="3">
        <v>10.48863029</v>
      </c>
      <c r="F30" s="4">
        <v>10.63549042</v>
      </c>
      <c r="G30" s="5">
        <v>10.56245041</v>
      </c>
      <c r="H30" s="3">
        <v>5.2352800369999999</v>
      </c>
      <c r="I30" s="4">
        <v>6.2379899019999998</v>
      </c>
      <c r="J30" s="5">
        <v>5.6813001630000004</v>
      </c>
      <c r="K30" s="9">
        <v>4909.0994308650525</v>
      </c>
      <c r="L30" s="10">
        <v>12613.844226584215</v>
      </c>
      <c r="M30" s="11">
        <v>8723.2853169999998</v>
      </c>
      <c r="O30" s="27">
        <f t="shared" si="0"/>
        <v>0.7574892307692308</v>
      </c>
      <c r="P30" s="28">
        <f t="shared" si="1"/>
        <v>0.47143771921256183</v>
      </c>
      <c r="Q30" s="28">
        <f t="shared" si="2"/>
        <v>0.67500477367662448</v>
      </c>
      <c r="R30" s="28">
        <f t="shared" si="3"/>
        <v>0.62235169688056535</v>
      </c>
      <c r="S30" s="28">
        <f t="shared" si="4"/>
        <v>27</v>
      </c>
      <c r="T30" s="29" t="str">
        <f t="shared" si="5"/>
        <v>Medium</v>
      </c>
      <c r="V30" s="27">
        <f t="shared" si="6"/>
        <v>0.81002153846153835</v>
      </c>
      <c r="W30" s="28">
        <f t="shared" si="13"/>
        <v>0.45096980589043184</v>
      </c>
      <c r="X30" s="28">
        <f t="shared" si="7"/>
        <v>0.58816201591766248</v>
      </c>
      <c r="Y30" s="29">
        <f t="shared" si="8"/>
        <v>0.5989358862510733</v>
      </c>
      <c r="AA30" s="27">
        <f t="shared" si="9"/>
        <v>0.70776307692307683</v>
      </c>
      <c r="AB30" s="28">
        <f t="shared" si="10"/>
        <v>0.4957003345166488</v>
      </c>
      <c r="AC30" s="28">
        <f t="shared" si="11"/>
        <v>0.7307139817033006</v>
      </c>
      <c r="AD30" s="29">
        <f t="shared" si="12"/>
        <v>0.63526000042186548</v>
      </c>
    </row>
    <row r="31" spans="1:30" x14ac:dyDescent="0.25">
      <c r="A31" s="16" t="s">
        <v>28</v>
      </c>
      <c r="B31" s="3">
        <v>72.534099999999995</v>
      </c>
      <c r="C31" s="4">
        <v>67.894499999999994</v>
      </c>
      <c r="D31" s="5">
        <v>70.122900000000001</v>
      </c>
      <c r="E31" s="3">
        <v>10.373404860000001</v>
      </c>
      <c r="F31" s="4">
        <v>9.9012732359999998</v>
      </c>
      <c r="G31" s="5">
        <v>10.13281417</v>
      </c>
      <c r="H31" s="3">
        <v>6.7569098470000002</v>
      </c>
      <c r="I31" s="4">
        <v>7.4313797949999998</v>
      </c>
      <c r="J31" s="5">
        <v>7.0884799960000002</v>
      </c>
      <c r="K31" s="9">
        <v>4271.1776478373504</v>
      </c>
      <c r="L31" s="10">
        <v>6304.3466593314351</v>
      </c>
      <c r="M31" s="11">
        <v>5297.955301</v>
      </c>
      <c r="O31" s="27">
        <f t="shared" si="0"/>
        <v>0.77112153846153852</v>
      </c>
      <c r="P31" s="28">
        <f t="shared" si="1"/>
        <v>0.51577432097277509</v>
      </c>
      <c r="Q31" s="28">
        <f t="shared" si="2"/>
        <v>0.5996770614160104</v>
      </c>
      <c r="R31" s="28">
        <f t="shared" si="3"/>
        <v>0.6201546371867156</v>
      </c>
      <c r="S31" s="28">
        <f t="shared" si="4"/>
        <v>28</v>
      </c>
      <c r="T31" s="29" t="str">
        <f t="shared" si="5"/>
        <v>Medium</v>
      </c>
      <c r="V31" s="27">
        <f t="shared" si="6"/>
        <v>0.80821692307692306</v>
      </c>
      <c r="W31" s="28">
        <f t="shared" si="13"/>
        <v>0.50951015489989726</v>
      </c>
      <c r="X31" s="28">
        <f t="shared" si="7"/>
        <v>0.56713491842549157</v>
      </c>
      <c r="Y31" s="29">
        <f t="shared" si="8"/>
        <v>0.61582274305022655</v>
      </c>
      <c r="AA31" s="27">
        <f t="shared" si="9"/>
        <v>0.73683846153846144</v>
      </c>
      <c r="AB31" s="28">
        <f t="shared" si="10"/>
        <v>0.52203349499030716</v>
      </c>
      <c r="AC31" s="28">
        <f t="shared" si="11"/>
        <v>0.62594843064971262</v>
      </c>
      <c r="AD31" s="29">
        <f t="shared" si="12"/>
        <v>0.62211365956356679</v>
      </c>
    </row>
    <row r="32" spans="1:30" x14ac:dyDescent="0.25">
      <c r="A32" s="16" t="s">
        <v>29</v>
      </c>
      <c r="B32" s="3">
        <v>70.419399999999996</v>
      </c>
      <c r="C32" s="4">
        <v>65.160700000000006</v>
      </c>
      <c r="D32" s="5">
        <v>67.591200000000001</v>
      </c>
      <c r="E32" s="3">
        <v>13.46457672</v>
      </c>
      <c r="F32" s="4">
        <v>13.27850437</v>
      </c>
      <c r="G32" s="5">
        <v>13.365385059999999</v>
      </c>
      <c r="H32" s="3">
        <v>5.595629228</v>
      </c>
      <c r="I32" s="4">
        <v>6.8108868420000004</v>
      </c>
      <c r="J32" s="5">
        <v>6.2155994349999997</v>
      </c>
      <c r="K32" s="9">
        <v>2414.8790555974601</v>
      </c>
      <c r="L32" s="10">
        <v>5634.9885565736222</v>
      </c>
      <c r="M32" s="11">
        <v>4021.3508149999998</v>
      </c>
      <c r="O32" s="27">
        <f t="shared" si="0"/>
        <v>0.73217230769230768</v>
      </c>
      <c r="P32" s="28">
        <f t="shared" si="1"/>
        <v>0.55469003632490443</v>
      </c>
      <c r="Q32" s="28">
        <f t="shared" si="2"/>
        <v>0.55803053041307471</v>
      </c>
      <c r="R32" s="28">
        <f t="shared" si="3"/>
        <v>0.60968738341556239</v>
      </c>
      <c r="S32" s="28">
        <f t="shared" si="4"/>
        <v>30</v>
      </c>
      <c r="T32" s="29" t="str">
        <f t="shared" si="5"/>
        <v>Medium</v>
      </c>
      <c r="V32" s="27">
        <f t="shared" si="6"/>
        <v>0.77568307692307681</v>
      </c>
      <c r="W32" s="28">
        <f t="shared" si="13"/>
        <v>0.52824930645194823</v>
      </c>
      <c r="X32" s="28">
        <f t="shared" si="7"/>
        <v>0.48099684082125937</v>
      </c>
      <c r="Y32" s="29">
        <f t="shared" si="8"/>
        <v>0.58195377808905202</v>
      </c>
      <c r="AA32" s="27">
        <f t="shared" si="9"/>
        <v>0.69478000000000006</v>
      </c>
      <c r="AB32" s="28">
        <f t="shared" si="10"/>
        <v>0.57875469982916128</v>
      </c>
      <c r="AC32" s="28">
        <f t="shared" si="11"/>
        <v>0.60899329719347173</v>
      </c>
      <c r="AD32" s="29">
        <f t="shared" si="12"/>
        <v>0.6256307945455073</v>
      </c>
    </row>
    <row r="33" spans="1:30" x14ac:dyDescent="0.25">
      <c r="A33" s="16" t="s">
        <v>30</v>
      </c>
      <c r="B33" s="3">
        <v>62.984900000000003</v>
      </c>
      <c r="C33" s="4">
        <v>55.720599999999997</v>
      </c>
      <c r="D33" s="5">
        <v>59.268999999999998</v>
      </c>
      <c r="E33" s="3">
        <v>11.89989359</v>
      </c>
      <c r="F33" s="4">
        <v>11.94272709</v>
      </c>
      <c r="G33" s="5">
        <v>11.92720692</v>
      </c>
      <c r="H33" s="3">
        <v>7.4544180129999997</v>
      </c>
      <c r="I33" s="4">
        <v>6.9122157150000003</v>
      </c>
      <c r="J33" s="5">
        <v>7.192013277</v>
      </c>
      <c r="K33" s="9">
        <v>7270.7046562651076</v>
      </c>
      <c r="L33" s="10">
        <v>10094.308150448971</v>
      </c>
      <c r="M33" s="11">
        <v>8633.5044519999992</v>
      </c>
      <c r="O33" s="27">
        <f t="shared" si="0"/>
        <v>0.60413846153846151</v>
      </c>
      <c r="P33" s="28">
        <f t="shared" si="1"/>
        <v>0.56365418386258881</v>
      </c>
      <c r="Q33" s="28">
        <f t="shared" si="2"/>
        <v>0.67344203824395255</v>
      </c>
      <c r="R33" s="28">
        <f t="shared" si="3"/>
        <v>0.61209168670775593</v>
      </c>
      <c r="S33" s="28">
        <f t="shared" si="4"/>
        <v>29</v>
      </c>
      <c r="T33" s="29" t="str">
        <f t="shared" si="5"/>
        <v>Medium</v>
      </c>
      <c r="V33" s="27">
        <f t="shared" si="6"/>
        <v>0.66130615384615388</v>
      </c>
      <c r="W33" s="28">
        <f t="shared" si="13"/>
        <v>0.57318725894345235</v>
      </c>
      <c r="X33" s="28">
        <f t="shared" si="7"/>
        <v>0.64749107339144973</v>
      </c>
      <c r="Y33" s="29">
        <f t="shared" si="8"/>
        <v>0.62610084879156136</v>
      </c>
      <c r="AA33" s="27">
        <f t="shared" si="9"/>
        <v>0.54954769230769229</v>
      </c>
      <c r="AB33" s="28">
        <f t="shared" si="10"/>
        <v>0.55294064336008086</v>
      </c>
      <c r="AC33" s="28">
        <f t="shared" si="11"/>
        <v>0.69705525370551213</v>
      </c>
      <c r="AD33" s="29">
        <f t="shared" si="12"/>
        <v>0.59609713651763097</v>
      </c>
    </row>
    <row r="34" spans="1:30" ht="15.75" thickBot="1" x14ac:dyDescent="0.3">
      <c r="A34" s="17" t="s">
        <v>31</v>
      </c>
      <c r="B34" s="6">
        <v>62.044899999999998</v>
      </c>
      <c r="C34" s="7">
        <v>56.232100000000003</v>
      </c>
      <c r="D34" s="8">
        <v>59.253100000000003</v>
      </c>
      <c r="E34" s="6">
        <v>11.96458018</v>
      </c>
      <c r="F34" s="7">
        <v>12.270699820000001</v>
      </c>
      <c r="G34" s="8">
        <v>12.110969040000001</v>
      </c>
      <c r="H34" s="6">
        <v>8.2965579480000002</v>
      </c>
      <c r="I34" s="7">
        <v>9.19064792</v>
      </c>
      <c r="J34" s="8">
        <v>8.7109085010000005</v>
      </c>
      <c r="K34" s="12">
        <v>3285.9335850507346</v>
      </c>
      <c r="L34" s="13">
        <v>4396.7776797083598</v>
      </c>
      <c r="M34" s="14">
        <v>3809.887158</v>
      </c>
      <c r="O34" s="30">
        <f t="shared" si="0"/>
        <v>0.60389384615384623</v>
      </c>
      <c r="P34" s="31">
        <f t="shared" si="1"/>
        <v>0.62508530726223699</v>
      </c>
      <c r="Q34" s="31">
        <f t="shared" si="2"/>
        <v>0.54987075683398301</v>
      </c>
      <c r="R34" s="31">
        <f t="shared" si="3"/>
        <v>0.59208879117043645</v>
      </c>
      <c r="S34" s="31">
        <f t="shared" si="4"/>
        <v>31</v>
      </c>
      <c r="T34" s="32" t="str">
        <f t="shared" si="5"/>
        <v>Medium</v>
      </c>
      <c r="V34" s="30">
        <f t="shared" si="6"/>
        <v>0.64684461538461535</v>
      </c>
      <c r="W34" s="31">
        <f t="shared" si="13"/>
        <v>0.60633945017640956</v>
      </c>
      <c r="X34" s="31">
        <f t="shared" si="7"/>
        <v>0.52752224816366833</v>
      </c>
      <c r="Y34" s="32">
        <f t="shared" si="8"/>
        <v>0.59145111904695258</v>
      </c>
      <c r="AA34" s="30">
        <f t="shared" si="9"/>
        <v>0.55741692307692314</v>
      </c>
      <c r="AB34" s="31">
        <f t="shared" si="10"/>
        <v>0.64628763742431972</v>
      </c>
      <c r="AC34" s="31">
        <f t="shared" si="11"/>
        <v>0.57151286731531503</v>
      </c>
      <c r="AD34" s="32">
        <f t="shared" si="12"/>
        <v>0.59048744811883747</v>
      </c>
    </row>
    <row r="36" spans="1:30" ht="15.75" thickBot="1" x14ac:dyDescent="0.3"/>
    <row r="37" spans="1:30" ht="15.75" thickBot="1" x14ac:dyDescent="0.3">
      <c r="A37" s="37" t="s">
        <v>0</v>
      </c>
      <c r="B37" s="38" t="s">
        <v>46</v>
      </c>
      <c r="C37" s="38" t="s">
        <v>47</v>
      </c>
      <c r="D37" s="38" t="s">
        <v>48</v>
      </c>
      <c r="E37" s="38" t="s">
        <v>49</v>
      </c>
      <c r="F37" s="39" t="s">
        <v>50</v>
      </c>
      <c r="G37" s="36" t="s">
        <v>51</v>
      </c>
    </row>
    <row r="38" spans="1:30" x14ac:dyDescent="0.25">
      <c r="A38" s="27" t="str">
        <f>A4</f>
        <v>Austria</v>
      </c>
      <c r="B38" s="28">
        <f>R4</f>
        <v>0.91523906324491255</v>
      </c>
      <c r="C38" s="28">
        <f>Y4</f>
        <v>0.91711405105000343</v>
      </c>
      <c r="D38" s="28">
        <f>AD4</f>
        <v>0.91114014651153408</v>
      </c>
      <c r="E38" s="28">
        <f>C38/D38</f>
        <v>1.0065565155496019</v>
      </c>
      <c r="F38" s="29">
        <f>ABS(C38-D38)</f>
        <v>5.9739045384693545E-3</v>
      </c>
      <c r="G38">
        <f>_xlfn.RANK.AVG(F38, $F$38:$F$68)</f>
        <v>25</v>
      </c>
    </row>
    <row r="39" spans="1:30" x14ac:dyDescent="0.25">
      <c r="A39" s="27" t="str">
        <f t="shared" ref="A39:A68" si="14">A5</f>
        <v>United Arab Emirates</v>
      </c>
      <c r="B39" s="28">
        <f t="shared" ref="B39:B68" si="15">R5</f>
        <v>0.91065716651858086</v>
      </c>
      <c r="C39" s="28">
        <f t="shared" ref="C39:C68" si="16">Y5</f>
        <v>0.88912883154147326</v>
      </c>
      <c r="D39" s="28">
        <f t="shared" ref="D39:D68" si="17">AD5</f>
        <v>0.90898534249906671</v>
      </c>
      <c r="E39" s="28">
        <f t="shared" ref="E39:E68" si="18">C39/D39</f>
        <v>0.97815530126921291</v>
      </c>
      <c r="F39" s="29">
        <f t="shared" ref="F39:F68" si="19">ABS(C39-D39)</f>
        <v>1.9856510957593443E-2</v>
      </c>
      <c r="G39">
        <f t="shared" ref="G39:G68" si="20">_xlfn.RANK.AVG(F39, $F$38:$F$68)</f>
        <v>18</v>
      </c>
    </row>
    <row r="40" spans="1:30" x14ac:dyDescent="0.25">
      <c r="A40" s="27" t="str">
        <f t="shared" si="14"/>
        <v>Czechia</v>
      </c>
      <c r="B40" s="28">
        <f t="shared" si="15"/>
        <v>0.88916431834950138</v>
      </c>
      <c r="C40" s="28">
        <f t="shared" si="16"/>
        <v>0.89574764195591305</v>
      </c>
      <c r="D40" s="28">
        <f t="shared" si="17"/>
        <v>0.87998200238067459</v>
      </c>
      <c r="E40" s="28">
        <f t="shared" si="18"/>
        <v>1.0179158659297425</v>
      </c>
      <c r="F40" s="29">
        <f t="shared" si="19"/>
        <v>1.5765639575238466E-2</v>
      </c>
      <c r="G40">
        <f t="shared" si="20"/>
        <v>20</v>
      </c>
    </row>
    <row r="41" spans="1:30" x14ac:dyDescent="0.25">
      <c r="A41" s="27" t="str">
        <f t="shared" si="14"/>
        <v>Greece</v>
      </c>
      <c r="B41" s="28">
        <f t="shared" si="15"/>
        <v>0.89985371022150151</v>
      </c>
      <c r="C41" s="28">
        <f t="shared" si="16"/>
        <v>0.8964997518153478</v>
      </c>
      <c r="D41" s="28">
        <f t="shared" si="17"/>
        <v>0.9010282016747897</v>
      </c>
      <c r="E41" s="28">
        <f t="shared" si="18"/>
        <v>0.99497413083072805</v>
      </c>
      <c r="F41" s="29">
        <f t="shared" si="19"/>
        <v>4.5284498594418965E-3</v>
      </c>
      <c r="G41">
        <f t="shared" si="20"/>
        <v>30</v>
      </c>
    </row>
    <row r="42" spans="1:30" x14ac:dyDescent="0.25">
      <c r="A42" s="27" t="str">
        <f t="shared" si="14"/>
        <v>Poland</v>
      </c>
      <c r="B42" s="28">
        <f t="shared" si="15"/>
        <v>0.8762155214211278</v>
      </c>
      <c r="C42" s="28">
        <f t="shared" si="16"/>
        <v>0.89070983277849847</v>
      </c>
      <c r="D42" s="28">
        <f t="shared" si="17"/>
        <v>0.85812569034713315</v>
      </c>
      <c r="E42" s="28">
        <f t="shared" si="18"/>
        <v>1.0379712934805438</v>
      </c>
      <c r="F42" s="29">
        <f t="shared" si="19"/>
        <v>3.2584142431365315E-2</v>
      </c>
      <c r="G42">
        <f t="shared" si="20"/>
        <v>12</v>
      </c>
    </row>
    <row r="43" spans="1:30" x14ac:dyDescent="0.25">
      <c r="A43" s="27" t="str">
        <f t="shared" si="14"/>
        <v>Bahrain</v>
      </c>
      <c r="B43" s="28">
        <f t="shared" si="15"/>
        <v>0.87358670771224145</v>
      </c>
      <c r="C43" s="28">
        <f t="shared" si="16"/>
        <v>0.83819953354531873</v>
      </c>
      <c r="D43" s="28">
        <f t="shared" si="17"/>
        <v>0.88050729813405615</v>
      </c>
      <c r="E43" s="28">
        <f t="shared" si="18"/>
        <v>0.95195069401651211</v>
      </c>
      <c r="F43" s="29">
        <f t="shared" si="19"/>
        <v>4.2307764588737418E-2</v>
      </c>
      <c r="G43">
        <f t="shared" si="20"/>
        <v>7</v>
      </c>
    </row>
    <row r="44" spans="1:30" x14ac:dyDescent="0.25">
      <c r="A44" s="27" t="str">
        <f t="shared" si="14"/>
        <v>Lithuania</v>
      </c>
      <c r="B44" s="28">
        <f t="shared" si="15"/>
        <v>0.87456511834994632</v>
      </c>
      <c r="C44" s="28">
        <f t="shared" si="16"/>
        <v>0.900448819308169</v>
      </c>
      <c r="D44" s="28">
        <f t="shared" si="17"/>
        <v>0.84741842253955113</v>
      </c>
      <c r="E44" s="28">
        <f t="shared" si="18"/>
        <v>1.0625787631683719</v>
      </c>
      <c r="F44" s="29">
        <f t="shared" si="19"/>
        <v>5.3030396768617871E-2</v>
      </c>
      <c r="G44">
        <f>_xlfn.RANK.AVG(F44, $F$38:$F$68)</f>
        <v>3</v>
      </c>
    </row>
    <row r="45" spans="1:30" x14ac:dyDescent="0.25">
      <c r="A45" s="27" t="str">
        <f t="shared" si="14"/>
        <v>Chile</v>
      </c>
      <c r="B45" s="28">
        <f t="shared" si="15"/>
        <v>0.85298027864598691</v>
      </c>
      <c r="C45" s="28">
        <f t="shared" si="16"/>
        <v>0.84761814365932364</v>
      </c>
      <c r="D45" s="28">
        <f t="shared" si="17"/>
        <v>0.85313031689934837</v>
      </c>
      <c r="E45" s="28">
        <f t="shared" si="18"/>
        <v>0.99353888482118602</v>
      </c>
      <c r="F45" s="29">
        <f t="shared" si="19"/>
        <v>5.5121732400247314E-3</v>
      </c>
      <c r="G45">
        <f t="shared" si="20"/>
        <v>27</v>
      </c>
    </row>
    <row r="46" spans="1:30" x14ac:dyDescent="0.25">
      <c r="A46" s="27" t="str">
        <f t="shared" si="14"/>
        <v>Qatar</v>
      </c>
      <c r="B46" s="28">
        <f t="shared" si="15"/>
        <v>0.86080781886345381</v>
      </c>
      <c r="C46" s="28">
        <f t="shared" si="16"/>
        <v>0.87795458066934218</v>
      </c>
      <c r="D46" s="28">
        <f t="shared" si="17"/>
        <v>0.85169393327060439</v>
      </c>
      <c r="E46" s="28">
        <f t="shared" si="18"/>
        <v>1.0308334324959834</v>
      </c>
      <c r="F46" s="29">
        <f t="shared" si="19"/>
        <v>2.6260647398737791E-2</v>
      </c>
      <c r="G46">
        <f t="shared" si="20"/>
        <v>14</v>
      </c>
    </row>
    <row r="47" spans="1:30" x14ac:dyDescent="0.25">
      <c r="A47" s="27" t="str">
        <f t="shared" si="14"/>
        <v>Slovakia</v>
      </c>
      <c r="B47" s="28">
        <f t="shared" si="15"/>
        <v>0.84752173008537635</v>
      </c>
      <c r="C47" s="28">
        <f t="shared" si="16"/>
        <v>0.85890376853310102</v>
      </c>
      <c r="D47" s="28">
        <f t="shared" si="17"/>
        <v>0.83406569481103587</v>
      </c>
      <c r="E47" s="28">
        <f t="shared" si="18"/>
        <v>1.0297795172209936</v>
      </c>
      <c r="F47" s="29">
        <f t="shared" si="19"/>
        <v>2.4838073722065146E-2</v>
      </c>
      <c r="G47">
        <f t="shared" si="20"/>
        <v>15</v>
      </c>
    </row>
    <row r="48" spans="1:30" x14ac:dyDescent="0.25">
      <c r="A48" s="27" t="str">
        <f t="shared" si="14"/>
        <v>Hungary</v>
      </c>
      <c r="B48" s="28">
        <f t="shared" si="15"/>
        <v>0.84635024046985052</v>
      </c>
      <c r="C48" s="28">
        <f t="shared" si="16"/>
        <v>0.85244002956820286</v>
      </c>
      <c r="D48" s="28">
        <f t="shared" si="17"/>
        <v>0.8374423368854802</v>
      </c>
      <c r="E48" s="28">
        <f t="shared" si="18"/>
        <v>1.0179089258115375</v>
      </c>
      <c r="F48" s="29">
        <f t="shared" si="19"/>
        <v>1.4997692682722663E-2</v>
      </c>
      <c r="G48">
        <f t="shared" si="20"/>
        <v>21</v>
      </c>
    </row>
    <row r="49" spans="1:7" x14ac:dyDescent="0.25">
      <c r="A49" s="27" t="str">
        <f t="shared" si="14"/>
        <v>Romania</v>
      </c>
      <c r="B49" s="28">
        <f t="shared" si="15"/>
        <v>0.82117826533520555</v>
      </c>
      <c r="C49" s="28">
        <f t="shared" si="16"/>
        <v>0.83065024043416769</v>
      </c>
      <c r="D49" s="28">
        <f t="shared" si="17"/>
        <v>0.81033914971370935</v>
      </c>
      <c r="E49" s="28">
        <f t="shared" si="18"/>
        <v>1.0250649258741036</v>
      </c>
      <c r="F49" s="29">
        <f t="shared" si="19"/>
        <v>2.0311090720458336E-2</v>
      </c>
      <c r="G49">
        <f t="shared" si="20"/>
        <v>17</v>
      </c>
    </row>
    <row r="50" spans="1:7" x14ac:dyDescent="0.25">
      <c r="A50" s="27" t="str">
        <f t="shared" si="14"/>
        <v>Bulgaria</v>
      </c>
      <c r="B50" s="28">
        <f t="shared" si="15"/>
        <v>0.79478104353295964</v>
      </c>
      <c r="C50" s="28">
        <f t="shared" si="16"/>
        <v>0.80465312247585019</v>
      </c>
      <c r="D50" s="28">
        <f t="shared" si="17"/>
        <v>0.78323484257033238</v>
      </c>
      <c r="E50" s="28">
        <f t="shared" si="18"/>
        <v>1.0273459232677005</v>
      </c>
      <c r="F50" s="29">
        <f t="shared" si="19"/>
        <v>2.1418279905517812E-2</v>
      </c>
      <c r="G50">
        <f t="shared" si="20"/>
        <v>16</v>
      </c>
    </row>
    <row r="51" spans="1:7" x14ac:dyDescent="0.25">
      <c r="A51" s="27" t="str">
        <f t="shared" si="14"/>
        <v>Barbados</v>
      </c>
      <c r="B51" s="28">
        <f t="shared" si="15"/>
        <v>0.78707601897135404</v>
      </c>
      <c r="C51" s="28">
        <f t="shared" si="16"/>
        <v>0.80629509831644308</v>
      </c>
      <c r="D51" s="28">
        <f t="shared" si="17"/>
        <v>0.75958283094562251</v>
      </c>
      <c r="E51" s="28">
        <f t="shared" si="18"/>
        <v>1.0614972659567192</v>
      </c>
      <c r="F51" s="29">
        <f t="shared" si="19"/>
        <v>4.671226737082057E-2</v>
      </c>
      <c r="G51">
        <f t="shared" si="20"/>
        <v>4</v>
      </c>
    </row>
    <row r="52" spans="1:7" x14ac:dyDescent="0.25">
      <c r="A52" s="27" t="str">
        <f t="shared" si="14"/>
        <v>China</v>
      </c>
      <c r="B52" s="28">
        <f t="shared" si="15"/>
        <v>0.76191769544435284</v>
      </c>
      <c r="C52" s="28">
        <f t="shared" si="16"/>
        <v>0.76334504197095387</v>
      </c>
      <c r="D52" s="28">
        <f t="shared" si="17"/>
        <v>0.75758629558726642</v>
      </c>
      <c r="E52" s="28">
        <f t="shared" si="18"/>
        <v>1.0076014394891124</v>
      </c>
      <c r="F52" s="29">
        <f t="shared" si="19"/>
        <v>5.758746383687452E-3</v>
      </c>
      <c r="G52">
        <f t="shared" si="20"/>
        <v>26</v>
      </c>
    </row>
    <row r="53" spans="1:7" x14ac:dyDescent="0.25">
      <c r="A53" s="27" t="str">
        <f t="shared" si="14"/>
        <v>Dominican Republic</v>
      </c>
      <c r="B53" s="28">
        <f t="shared" si="15"/>
        <v>0.76536095812381832</v>
      </c>
      <c r="C53" s="28">
        <f t="shared" si="16"/>
        <v>0.7806115221829425</v>
      </c>
      <c r="D53" s="28">
        <f t="shared" si="17"/>
        <v>0.74669043663278623</v>
      </c>
      <c r="E53" s="28">
        <f t="shared" si="18"/>
        <v>1.0454285790817464</v>
      </c>
      <c r="F53" s="29">
        <f t="shared" si="19"/>
        <v>3.3921085550156271E-2</v>
      </c>
      <c r="G53">
        <f t="shared" si="20"/>
        <v>10</v>
      </c>
    </row>
    <row r="54" spans="1:7" x14ac:dyDescent="0.25">
      <c r="A54" s="27" t="str">
        <f t="shared" si="14"/>
        <v>Moldova (Republic of)</v>
      </c>
      <c r="B54" s="28">
        <f t="shared" si="15"/>
        <v>0.76709952953950833</v>
      </c>
      <c r="C54" s="28">
        <f t="shared" si="16"/>
        <v>0.78311338508917205</v>
      </c>
      <c r="D54" s="28">
        <f t="shared" si="17"/>
        <v>0.74940346573135785</v>
      </c>
      <c r="E54" s="28">
        <f t="shared" si="18"/>
        <v>1.0449823371512112</v>
      </c>
      <c r="F54" s="29">
        <f t="shared" si="19"/>
        <v>3.37099193578142E-2</v>
      </c>
      <c r="G54">
        <f t="shared" si="20"/>
        <v>11</v>
      </c>
    </row>
    <row r="55" spans="1:7" x14ac:dyDescent="0.25">
      <c r="A55" s="27" t="str">
        <f t="shared" si="14"/>
        <v>Cuba</v>
      </c>
      <c r="B55" s="28">
        <f t="shared" si="15"/>
        <v>0.76370868132717651</v>
      </c>
      <c r="C55" s="28">
        <f t="shared" si="16"/>
        <v>0.75612215587605525</v>
      </c>
      <c r="D55" s="28">
        <f t="shared" si="17"/>
        <v>0.76246293141914157</v>
      </c>
      <c r="E55" s="28">
        <f t="shared" si="18"/>
        <v>0.99168382450897052</v>
      </c>
      <c r="F55" s="29">
        <f t="shared" si="19"/>
        <v>6.3407755430863189E-3</v>
      </c>
      <c r="G55">
        <f t="shared" si="20"/>
        <v>23</v>
      </c>
    </row>
    <row r="56" spans="1:7" x14ac:dyDescent="0.25">
      <c r="A56" s="27" t="str">
        <f t="shared" si="14"/>
        <v>Peru</v>
      </c>
      <c r="B56" s="28">
        <f t="shared" si="15"/>
        <v>0.76015882580943395</v>
      </c>
      <c r="C56" s="28">
        <f t="shared" si="16"/>
        <v>0.75074533926090814</v>
      </c>
      <c r="D56" s="28">
        <f t="shared" si="17"/>
        <v>0.76703924847339744</v>
      </c>
      <c r="E56" s="28">
        <f t="shared" si="18"/>
        <v>0.97875739834054343</v>
      </c>
      <c r="F56" s="29">
        <f t="shared" si="19"/>
        <v>1.6293909212489299E-2</v>
      </c>
      <c r="G56">
        <f t="shared" si="20"/>
        <v>19</v>
      </c>
    </row>
    <row r="57" spans="1:7" x14ac:dyDescent="0.25">
      <c r="A57" s="27" t="str">
        <f t="shared" si="14"/>
        <v>Maldives</v>
      </c>
      <c r="B57" s="28">
        <f t="shared" si="15"/>
        <v>0.74339020842243153</v>
      </c>
      <c r="C57" s="28">
        <f t="shared" si="16"/>
        <v>0.71137676869979116</v>
      </c>
      <c r="D57" s="28">
        <f t="shared" si="17"/>
        <v>0.75343380215049882</v>
      </c>
      <c r="E57" s="28">
        <f t="shared" si="18"/>
        <v>0.94417952402631022</v>
      </c>
      <c r="F57" s="29">
        <f t="shared" si="19"/>
        <v>4.2057033450707659E-2</v>
      </c>
      <c r="G57">
        <f t="shared" si="20"/>
        <v>8</v>
      </c>
    </row>
    <row r="58" spans="1:7" x14ac:dyDescent="0.25">
      <c r="A58" s="41" t="str">
        <f t="shared" si="14"/>
        <v>Iraq</v>
      </c>
      <c r="B58" s="42">
        <f t="shared" si="15"/>
        <v>0.68440938179882527</v>
      </c>
      <c r="C58" s="42">
        <f t="shared" si="16"/>
        <v>0.5928694648597469</v>
      </c>
      <c r="D58" s="42">
        <f t="shared" si="17"/>
        <v>0.71459733824934824</v>
      </c>
      <c r="E58" s="42">
        <f t="shared" si="18"/>
        <v>0.82965529414395023</v>
      </c>
      <c r="F58" s="43">
        <f t="shared" si="19"/>
        <v>0.12172787338960134</v>
      </c>
      <c r="G58" s="40">
        <f t="shared" si="20"/>
        <v>1</v>
      </c>
    </row>
    <row r="59" spans="1:7" x14ac:dyDescent="0.25">
      <c r="A59" s="27" t="str">
        <f t="shared" si="14"/>
        <v>Tajikistan</v>
      </c>
      <c r="B59" s="28">
        <f t="shared" si="15"/>
        <v>0.68406343391103541</v>
      </c>
      <c r="C59" s="28">
        <f t="shared" si="16"/>
        <v>0.65768256268240255</v>
      </c>
      <c r="D59" s="28">
        <f t="shared" si="17"/>
        <v>0.70052789427379036</v>
      </c>
      <c r="E59" s="28">
        <f t="shared" si="18"/>
        <v>0.93883850744329911</v>
      </c>
      <c r="F59" s="29">
        <f t="shared" si="19"/>
        <v>4.2845331591387814E-2</v>
      </c>
      <c r="G59">
        <f t="shared" si="20"/>
        <v>6</v>
      </c>
    </row>
    <row r="60" spans="1:7" x14ac:dyDescent="0.25">
      <c r="A60" s="27" t="str">
        <f t="shared" si="14"/>
        <v>Belize</v>
      </c>
      <c r="B60" s="28">
        <f t="shared" si="15"/>
        <v>0.68197144850138525</v>
      </c>
      <c r="C60" s="28">
        <f t="shared" si="16"/>
        <v>0.68101233487153023</v>
      </c>
      <c r="D60" s="28">
        <f t="shared" si="17"/>
        <v>0.67594460218713881</v>
      </c>
      <c r="E60" s="28">
        <f t="shared" si="18"/>
        <v>1.007497260379022</v>
      </c>
      <c r="F60" s="29">
        <f t="shared" si="19"/>
        <v>5.0677326843914239E-3</v>
      </c>
      <c r="G60">
        <f t="shared" si="20"/>
        <v>28</v>
      </c>
    </row>
    <row r="61" spans="1:7" x14ac:dyDescent="0.25">
      <c r="A61" s="27" t="str">
        <f t="shared" si="14"/>
        <v>Morocco</v>
      </c>
      <c r="B61" s="28">
        <f t="shared" si="15"/>
        <v>0.66949245990734363</v>
      </c>
      <c r="C61" s="28">
        <f t="shared" si="16"/>
        <v>0.61281160883142138</v>
      </c>
      <c r="D61" s="28">
        <f t="shared" si="17"/>
        <v>0.70153837898549842</v>
      </c>
      <c r="E61" s="28">
        <f t="shared" si="18"/>
        <v>0.87352542239758046</v>
      </c>
      <c r="F61" s="29">
        <f t="shared" si="19"/>
        <v>8.8726770154077039E-2</v>
      </c>
      <c r="G61">
        <f t="shared" si="20"/>
        <v>2</v>
      </c>
    </row>
    <row r="62" spans="1:7" x14ac:dyDescent="0.25">
      <c r="A62" s="27" t="str">
        <f t="shared" si="14"/>
        <v>El Salvador</v>
      </c>
      <c r="B62" s="28">
        <f t="shared" si="15"/>
        <v>0.67081572714649718</v>
      </c>
      <c r="C62" s="28">
        <f t="shared" si="16"/>
        <v>0.66496900487390687</v>
      </c>
      <c r="D62" s="28">
        <f t="shared" si="17"/>
        <v>0.67000400052583675</v>
      </c>
      <c r="E62" s="28">
        <f t="shared" si="18"/>
        <v>0.99248512598733996</v>
      </c>
      <c r="F62" s="29">
        <f t="shared" si="19"/>
        <v>5.0349956519298855E-3</v>
      </c>
      <c r="G62">
        <f t="shared" si="20"/>
        <v>29</v>
      </c>
    </row>
    <row r="63" spans="1:7" x14ac:dyDescent="0.25">
      <c r="A63" s="27" t="str">
        <f t="shared" si="14"/>
        <v>Ghana</v>
      </c>
      <c r="B63" s="28">
        <f t="shared" si="15"/>
        <v>0.63109654284190519</v>
      </c>
      <c r="C63" s="28">
        <f t="shared" si="16"/>
        <v>0.62400899516202124</v>
      </c>
      <c r="D63" s="28">
        <f t="shared" si="17"/>
        <v>0.63651884136372261</v>
      </c>
      <c r="E63" s="28">
        <f t="shared" si="18"/>
        <v>0.98034646362564948</v>
      </c>
      <c r="F63" s="29">
        <f t="shared" si="19"/>
        <v>1.2509846201701369E-2</v>
      </c>
      <c r="G63">
        <f t="shared" si="20"/>
        <v>22</v>
      </c>
    </row>
    <row r="64" spans="1:7" x14ac:dyDescent="0.25">
      <c r="A64" s="27" t="str">
        <f t="shared" si="14"/>
        <v>Guatemala</v>
      </c>
      <c r="B64" s="28">
        <f t="shared" si="15"/>
        <v>0.62235169688056535</v>
      </c>
      <c r="C64" s="28">
        <f t="shared" si="16"/>
        <v>0.5989358862510733</v>
      </c>
      <c r="D64" s="28">
        <f t="shared" si="17"/>
        <v>0.63526000042186548</v>
      </c>
      <c r="E64" s="28">
        <f t="shared" si="18"/>
        <v>0.94282008288469299</v>
      </c>
      <c r="F64" s="29">
        <f t="shared" si="19"/>
        <v>3.6324114170792177E-2</v>
      </c>
      <c r="G64">
        <f t="shared" si="20"/>
        <v>9</v>
      </c>
    </row>
    <row r="65" spans="1:7" x14ac:dyDescent="0.25">
      <c r="A65" s="27" t="str">
        <f t="shared" si="14"/>
        <v>Honduras</v>
      </c>
      <c r="B65" s="28">
        <f t="shared" si="15"/>
        <v>0.6201546371867156</v>
      </c>
      <c r="C65" s="28">
        <f t="shared" si="16"/>
        <v>0.61582274305022655</v>
      </c>
      <c r="D65" s="28">
        <f t="shared" si="17"/>
        <v>0.62211365956356679</v>
      </c>
      <c r="E65" s="28">
        <f t="shared" si="18"/>
        <v>0.98988783413347081</v>
      </c>
      <c r="F65" s="29">
        <f t="shared" si="19"/>
        <v>6.2909165133402389E-3</v>
      </c>
      <c r="G65">
        <f t="shared" si="20"/>
        <v>24</v>
      </c>
    </row>
    <row r="66" spans="1:7" x14ac:dyDescent="0.25">
      <c r="A66" s="27" t="str">
        <f t="shared" si="14"/>
        <v>Sao Tome and Principe</v>
      </c>
      <c r="B66" s="28">
        <f t="shared" si="15"/>
        <v>0.60968738341556239</v>
      </c>
      <c r="C66" s="28">
        <f t="shared" si="16"/>
        <v>0.58195377808905202</v>
      </c>
      <c r="D66" s="28">
        <f t="shared" si="17"/>
        <v>0.6256307945455073</v>
      </c>
      <c r="E66" s="28">
        <f t="shared" si="18"/>
        <v>0.93018723368918454</v>
      </c>
      <c r="F66" s="29">
        <f t="shared" si="19"/>
        <v>4.3677016456455275E-2</v>
      </c>
      <c r="G66">
        <f t="shared" si="20"/>
        <v>5</v>
      </c>
    </row>
    <row r="67" spans="1:7" x14ac:dyDescent="0.25">
      <c r="A67" s="27" t="str">
        <f t="shared" si="14"/>
        <v>Namibia</v>
      </c>
      <c r="B67" s="28">
        <f t="shared" si="15"/>
        <v>0.61209168670775593</v>
      </c>
      <c r="C67" s="28">
        <f t="shared" si="16"/>
        <v>0.62610084879156136</v>
      </c>
      <c r="D67" s="28">
        <f t="shared" si="17"/>
        <v>0.59609713651763097</v>
      </c>
      <c r="E67" s="28">
        <f t="shared" si="18"/>
        <v>1.050333595710945</v>
      </c>
      <c r="F67" s="29">
        <f t="shared" si="19"/>
        <v>3.0003712273930394E-2</v>
      </c>
      <c r="G67">
        <f t="shared" si="20"/>
        <v>13</v>
      </c>
    </row>
    <row r="68" spans="1:7" ht="15.75" thickBot="1" x14ac:dyDescent="0.3">
      <c r="A68" s="30" t="str">
        <f t="shared" si="14"/>
        <v>Zimbabwe</v>
      </c>
      <c r="B68" s="31">
        <f t="shared" si="15"/>
        <v>0.59208879117043645</v>
      </c>
      <c r="C68" s="31">
        <f t="shared" si="16"/>
        <v>0.59145111904695258</v>
      </c>
      <c r="D68" s="31">
        <f t="shared" si="17"/>
        <v>0.59048744811883747</v>
      </c>
      <c r="E68" s="31">
        <f t="shared" si="18"/>
        <v>1.0016319922314778</v>
      </c>
      <c r="F68" s="29">
        <f t="shared" si="19"/>
        <v>9.6367092811511235E-4</v>
      </c>
      <c r="G68">
        <f t="shared" si="20"/>
        <v>31</v>
      </c>
    </row>
  </sheetData>
  <mergeCells count="7">
    <mergeCell ref="AA2:AD2"/>
    <mergeCell ref="B2:D2"/>
    <mergeCell ref="E2:G2"/>
    <mergeCell ref="H2:J2"/>
    <mergeCell ref="K2:M2"/>
    <mergeCell ref="O2:T2"/>
    <mergeCell ref="V2:Y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1"/>
  <sheetViews>
    <sheetView topLeftCell="A45" workbookViewId="0">
      <selection activeCell="Q56" sqref="Q56"/>
    </sheetView>
  </sheetViews>
  <sheetFormatPr defaultRowHeight="15" x14ac:dyDescent="0.25"/>
  <sheetData>
    <row r="1" spans="1:19" x14ac:dyDescent="0.25">
      <c r="A1" s="44" t="s">
        <v>52</v>
      </c>
      <c r="B1" s="59" t="s">
        <v>53</v>
      </c>
      <c r="C1" s="59"/>
      <c r="D1" s="59"/>
      <c r="E1" s="59"/>
      <c r="F1" s="59" t="s">
        <v>54</v>
      </c>
      <c r="G1" s="59"/>
      <c r="H1" s="59"/>
      <c r="I1" s="59"/>
      <c r="J1" s="44" t="s">
        <v>52</v>
      </c>
      <c r="K1" s="60" t="s">
        <v>55</v>
      </c>
      <c r="L1" s="61"/>
      <c r="M1" s="61"/>
      <c r="N1" s="62"/>
      <c r="O1" s="60" t="s">
        <v>56</v>
      </c>
      <c r="P1" s="61"/>
      <c r="Q1" s="61"/>
      <c r="R1" s="62"/>
      <c r="S1" s="45"/>
    </row>
    <row r="2" spans="1:19" ht="135" x14ac:dyDescent="0.25">
      <c r="A2" s="46"/>
      <c r="B2" s="46" t="s">
        <v>57</v>
      </c>
      <c r="C2" s="46" t="s">
        <v>58</v>
      </c>
      <c r="D2" s="46" t="s">
        <v>59</v>
      </c>
      <c r="E2" s="46" t="s">
        <v>60</v>
      </c>
      <c r="F2" s="46" t="s">
        <v>57</v>
      </c>
      <c r="G2" s="46" t="s">
        <v>58</v>
      </c>
      <c r="H2" s="46" t="s">
        <v>59</v>
      </c>
      <c r="I2" s="46" t="s">
        <v>60</v>
      </c>
      <c r="J2" s="46"/>
      <c r="K2" s="46" t="s">
        <v>57</v>
      </c>
      <c r="L2" s="46" t="s">
        <v>61</v>
      </c>
      <c r="M2" s="46" t="s">
        <v>59</v>
      </c>
      <c r="N2" s="46" t="s">
        <v>60</v>
      </c>
      <c r="O2" s="46" t="s">
        <v>57</v>
      </c>
      <c r="P2" s="46" t="s">
        <v>61</v>
      </c>
      <c r="Q2" s="46" t="s">
        <v>59</v>
      </c>
      <c r="R2" s="46" t="s">
        <v>60</v>
      </c>
      <c r="S2" s="47"/>
    </row>
    <row r="3" spans="1:19" x14ac:dyDescent="0.25">
      <c r="A3" s="48">
        <v>2001</v>
      </c>
      <c r="B3" s="48">
        <v>2656.65520801002</v>
      </c>
      <c r="C3" s="48">
        <v>9.6944999694824201</v>
      </c>
      <c r="D3" s="48">
        <v>61.014560699462898</v>
      </c>
      <c r="E3" s="48">
        <v>62.906999999999996</v>
      </c>
      <c r="F3" s="48">
        <v>15652.014454726501</v>
      </c>
      <c r="G3" s="48">
        <v>24.996719360351602</v>
      </c>
      <c r="H3" s="48">
        <v>93.017889404296895</v>
      </c>
      <c r="I3" s="48">
        <v>72.781999999999996</v>
      </c>
      <c r="J3" s="48">
        <v>2001</v>
      </c>
      <c r="K3" s="48">
        <v>2136.3289831346801</v>
      </c>
      <c r="L3" s="48">
        <v>4.49652004241943</v>
      </c>
      <c r="M3" s="48">
        <v>48.608970642089801</v>
      </c>
      <c r="N3" s="48">
        <v>62.945</v>
      </c>
      <c r="O3" s="48">
        <v>10053.8153977212</v>
      </c>
      <c r="P3" s="48">
        <v>39.071109771728501</v>
      </c>
      <c r="Q3" s="48">
        <v>93.116469726562499</v>
      </c>
      <c r="R3" s="48">
        <v>70.831999999999994</v>
      </c>
      <c r="S3" s="45"/>
    </row>
    <row r="4" spans="1:19" x14ac:dyDescent="0.25">
      <c r="A4" s="48">
        <v>2002</v>
      </c>
      <c r="B4" s="48">
        <v>2711.5118464328302</v>
      </c>
      <c r="C4" s="48">
        <v>10.176420211791999</v>
      </c>
      <c r="D4" s="48">
        <v>61.214560699462901</v>
      </c>
      <c r="E4" s="48">
        <v>63.304000000000002</v>
      </c>
      <c r="F4" s="48">
        <v>16155.6016212127</v>
      </c>
      <c r="G4" s="48">
        <v>27.443250656127901</v>
      </c>
      <c r="H4" s="48">
        <v>93.057889404296901</v>
      </c>
      <c r="I4" s="48">
        <v>72.975999999999999</v>
      </c>
      <c r="J4" s="48">
        <v>2002</v>
      </c>
      <c r="K4" s="48">
        <v>2106.1523727612098</v>
      </c>
      <c r="L4" s="48">
        <v>5.1837401390075701</v>
      </c>
      <c r="M4" s="48">
        <v>49.568970642089802</v>
      </c>
      <c r="N4" s="48">
        <v>63.57</v>
      </c>
      <c r="O4" s="48">
        <v>10583.761863302299</v>
      </c>
      <c r="P4" s="48">
        <v>39.995121002197301</v>
      </c>
      <c r="Q4" s="48">
        <v>93.126469726562505</v>
      </c>
      <c r="R4" s="48">
        <v>71.088999999999999</v>
      </c>
      <c r="S4" s="45"/>
    </row>
    <row r="5" spans="1:19" x14ac:dyDescent="0.25">
      <c r="A5" s="48">
        <v>2003</v>
      </c>
      <c r="B5" s="48">
        <v>2876.7433821066902</v>
      </c>
      <c r="C5" s="48">
        <v>10.625370025634799</v>
      </c>
      <c r="D5" s="48">
        <v>61.454560699462903</v>
      </c>
      <c r="E5" s="48">
        <v>63.698999999999998</v>
      </c>
      <c r="F5" s="48">
        <v>16751.407141100601</v>
      </c>
      <c r="G5" s="48">
        <v>30.6067295074463</v>
      </c>
      <c r="H5" s="48">
        <v>93.097889404296893</v>
      </c>
      <c r="I5" s="48">
        <v>73.17</v>
      </c>
      <c r="J5" s="48">
        <v>2003</v>
      </c>
      <c r="K5" s="48">
        <v>2158.2316494800698</v>
      </c>
      <c r="L5" s="48">
        <v>5.2361598014831499</v>
      </c>
      <c r="M5" s="48">
        <v>50.768970642089798</v>
      </c>
      <c r="N5" s="48">
        <v>64.165000000000006</v>
      </c>
      <c r="O5" s="48">
        <v>11260.1581111258</v>
      </c>
      <c r="P5" s="48">
        <v>40.9499702453613</v>
      </c>
      <c r="Q5" s="48">
        <v>93.216469726562494</v>
      </c>
      <c r="R5" s="48">
        <v>71.388999999999996</v>
      </c>
      <c r="S5" s="45"/>
    </row>
    <row r="6" spans="1:19" x14ac:dyDescent="0.25">
      <c r="A6" s="48">
        <v>2004</v>
      </c>
      <c r="B6" s="48">
        <v>3054.9188762471999</v>
      </c>
      <c r="C6" s="48">
        <v>10.933210372924799</v>
      </c>
      <c r="D6" s="48">
        <v>61.554560699462897</v>
      </c>
      <c r="E6" s="48">
        <v>64.094999999999999</v>
      </c>
      <c r="F6" s="48">
        <v>17538.485698819899</v>
      </c>
      <c r="G6" s="48">
        <v>30.034490585327099</v>
      </c>
      <c r="H6" s="48">
        <v>93.099889404296903</v>
      </c>
      <c r="I6" s="48">
        <v>73.364000000000004</v>
      </c>
      <c r="J6" s="48">
        <v>2004</v>
      </c>
      <c r="K6" s="48">
        <v>2229.2107183657499</v>
      </c>
      <c r="L6" s="48">
        <v>6.1409797668456996</v>
      </c>
      <c r="M6" s="48">
        <v>51.608970642089801</v>
      </c>
      <c r="N6" s="48">
        <v>64.728999999999999</v>
      </c>
      <c r="O6" s="48">
        <v>11886.3246218723</v>
      </c>
      <c r="P6" s="48">
        <v>42.073619842529297</v>
      </c>
      <c r="Q6" s="48">
        <v>92.226469726562499</v>
      </c>
      <c r="R6" s="48">
        <v>71.727999999999994</v>
      </c>
      <c r="S6" s="45"/>
    </row>
    <row r="7" spans="1:19" x14ac:dyDescent="0.25">
      <c r="A7" s="48">
        <v>2005</v>
      </c>
      <c r="B7" s="48">
        <v>3245.2998850469398</v>
      </c>
      <c r="C7" s="48">
        <v>10.679639816284199</v>
      </c>
      <c r="D7" s="48">
        <v>62.014560699462898</v>
      </c>
      <c r="E7" s="48">
        <v>64.5</v>
      </c>
      <c r="F7" s="48">
        <v>18114.144108560798</v>
      </c>
      <c r="G7" s="48">
        <v>27.9187908172607</v>
      </c>
      <c r="H7" s="48">
        <v>93.100889404296893</v>
      </c>
      <c r="I7" s="48">
        <v>73.555000000000007</v>
      </c>
      <c r="J7" s="48">
        <v>2005</v>
      </c>
      <c r="K7" s="48">
        <v>2277.633609817</v>
      </c>
      <c r="L7" s="48">
        <v>7.7362198829650897</v>
      </c>
      <c r="M7" s="48">
        <v>52.768970642089798</v>
      </c>
      <c r="N7" s="48">
        <v>65.263999999999996</v>
      </c>
      <c r="O7" s="48">
        <v>12304.4020760731</v>
      </c>
      <c r="P7" s="48">
        <v>44.576950073242202</v>
      </c>
      <c r="Q7" s="48">
        <v>93.5064697265625</v>
      </c>
      <c r="R7" s="48">
        <v>72.099000000000004</v>
      </c>
      <c r="S7" s="45"/>
    </row>
    <row r="8" spans="1:19" x14ac:dyDescent="0.25">
      <c r="A8" s="48">
        <v>2006</v>
      </c>
      <c r="B8" s="48">
        <v>3453.1056610273799</v>
      </c>
      <c r="C8" s="48">
        <v>11.486359596252401</v>
      </c>
      <c r="D8" s="48">
        <v>62.754470825195298</v>
      </c>
      <c r="E8" s="48">
        <v>64.918000000000006</v>
      </c>
      <c r="F8" s="48">
        <v>18752.5457933406</v>
      </c>
      <c r="G8" s="48">
        <v>28.408210754394499</v>
      </c>
      <c r="H8" s="48">
        <v>93.113289404296907</v>
      </c>
      <c r="I8" s="48">
        <v>73.744</v>
      </c>
      <c r="J8" s="48">
        <v>2006</v>
      </c>
      <c r="K8" s="48">
        <v>2325.1682161223898</v>
      </c>
      <c r="L8" s="48">
        <v>8.2184295654296893</v>
      </c>
      <c r="M8" s="48">
        <v>54.0089706420898</v>
      </c>
      <c r="N8" s="48">
        <v>65.772999999999996</v>
      </c>
      <c r="O8" s="48">
        <v>12837.8779168538</v>
      </c>
      <c r="P8" s="48">
        <v>44.857830047607401</v>
      </c>
      <c r="Q8" s="48">
        <v>93.606469726562494</v>
      </c>
      <c r="R8" s="48">
        <v>72.498999999999995</v>
      </c>
      <c r="S8" s="45"/>
    </row>
    <row r="9" spans="1:19" x14ac:dyDescent="0.25">
      <c r="A9" s="48">
        <v>2007</v>
      </c>
      <c r="B9" s="48">
        <v>3661.9555049800101</v>
      </c>
      <c r="C9" s="48">
        <v>13.126680374145501</v>
      </c>
      <c r="D9" s="48">
        <v>63.814470825195301</v>
      </c>
      <c r="E9" s="48">
        <v>65.349999999999994</v>
      </c>
      <c r="F9" s="48">
        <v>19546.985916628</v>
      </c>
      <c r="G9" s="48">
        <v>30.005079269409201</v>
      </c>
      <c r="H9" s="48">
        <v>93.115489404296895</v>
      </c>
      <c r="I9" s="48">
        <v>73.930999999999997</v>
      </c>
      <c r="J9" s="48">
        <v>2007</v>
      </c>
      <c r="K9" s="48">
        <v>2375.7018898973402</v>
      </c>
      <c r="L9" s="48">
        <v>10.1318502426147</v>
      </c>
      <c r="M9" s="48">
        <v>55.608970642089801</v>
      </c>
      <c r="N9" s="48">
        <v>66.260000000000005</v>
      </c>
      <c r="O9" s="48">
        <v>13460.060558500099</v>
      </c>
      <c r="P9" s="48">
        <v>49.034801483154297</v>
      </c>
      <c r="Q9" s="48">
        <v>93.686469726562507</v>
      </c>
      <c r="R9" s="48">
        <v>72.915999999999997</v>
      </c>
      <c r="S9" s="45"/>
    </row>
    <row r="10" spans="1:19" x14ac:dyDescent="0.25">
      <c r="A10" s="48">
        <v>2008</v>
      </c>
      <c r="B10" s="48">
        <v>3720.0926484807201</v>
      </c>
      <c r="C10" s="48">
        <v>15.047209739685099</v>
      </c>
      <c r="D10" s="48">
        <v>64.744470825195293</v>
      </c>
      <c r="E10" s="48">
        <v>65.793999999999997</v>
      </c>
      <c r="F10" s="48">
        <v>20103.5041375898</v>
      </c>
      <c r="G10" s="48">
        <v>33.439479827880902</v>
      </c>
      <c r="H10" s="48">
        <v>93.116689404296906</v>
      </c>
      <c r="I10" s="48">
        <v>74.117999999999995</v>
      </c>
      <c r="J10" s="48">
        <v>2008</v>
      </c>
      <c r="K10" s="48">
        <v>2493.8845302658001</v>
      </c>
      <c r="L10" s="48">
        <v>11.1451301574707</v>
      </c>
      <c r="M10" s="48">
        <v>56.888970642089802</v>
      </c>
      <c r="N10" s="48">
        <v>66.727000000000004</v>
      </c>
      <c r="O10" s="48">
        <v>13620.5323660986</v>
      </c>
      <c r="P10" s="48">
        <v>48.6715698242188</v>
      </c>
      <c r="Q10" s="48">
        <v>93.446469726562498</v>
      </c>
      <c r="R10" s="48">
        <v>73.340999999999994</v>
      </c>
      <c r="S10" s="45"/>
    </row>
    <row r="11" spans="1:19" x14ac:dyDescent="0.25">
      <c r="A11" s="48">
        <v>2009</v>
      </c>
      <c r="B11" s="48">
        <v>3956.35901634727</v>
      </c>
      <c r="C11" s="48">
        <v>16.030929565429702</v>
      </c>
      <c r="D11" s="48">
        <v>66.754470825195298</v>
      </c>
      <c r="E11" s="48">
        <v>66.244</v>
      </c>
      <c r="F11" s="48">
        <v>19442.985349695799</v>
      </c>
      <c r="G11" s="48">
        <v>35.494678497314503</v>
      </c>
      <c r="H11" s="48">
        <v>93.116889404296899</v>
      </c>
      <c r="I11" s="48">
        <v>74.305000000000007</v>
      </c>
      <c r="J11" s="48">
        <v>2009</v>
      </c>
      <c r="K11" s="48">
        <v>2585.8963288341902</v>
      </c>
      <c r="L11" s="48">
        <v>11.157010078430201</v>
      </c>
      <c r="M11" s="48">
        <v>57.608970642089801</v>
      </c>
      <c r="N11" s="48">
        <v>67.177999999999997</v>
      </c>
      <c r="O11" s="48">
        <v>13458.5267079765</v>
      </c>
      <c r="P11" s="48">
        <v>49.402698516845703</v>
      </c>
      <c r="Q11" s="48">
        <v>93.886469726562495</v>
      </c>
      <c r="R11" s="48">
        <v>73.766000000000005</v>
      </c>
      <c r="S11" s="45"/>
    </row>
    <row r="12" spans="1:19" x14ac:dyDescent="0.25">
      <c r="A12" s="48">
        <v>2010</v>
      </c>
      <c r="B12" s="48">
        <v>4234.9795733491201</v>
      </c>
      <c r="C12" s="48">
        <v>17.833879470825199</v>
      </c>
      <c r="D12" s="48">
        <v>68.254470825195298</v>
      </c>
      <c r="E12" s="48">
        <v>66.692999999999998</v>
      </c>
      <c r="F12" s="48">
        <v>20536.372513472001</v>
      </c>
      <c r="G12" s="48">
        <v>37.028881072997997</v>
      </c>
      <c r="H12" s="48">
        <v>93.117889404296903</v>
      </c>
      <c r="I12" s="48">
        <v>74.492999999999995</v>
      </c>
      <c r="J12" s="48">
        <v>2010</v>
      </c>
      <c r="K12" s="48">
        <v>2697.43242325439</v>
      </c>
      <c r="L12" s="48">
        <v>14.3399000167847</v>
      </c>
      <c r="M12" s="48">
        <v>57.108970642089801</v>
      </c>
      <c r="N12" s="48">
        <v>67.611000000000004</v>
      </c>
      <c r="O12" s="48">
        <v>14399.044514297701</v>
      </c>
      <c r="P12" s="48">
        <v>50.374740600585902</v>
      </c>
      <c r="Q12" s="48">
        <v>96.430908203125</v>
      </c>
      <c r="R12" s="48">
        <v>74.183999999999997</v>
      </c>
      <c r="S12" s="45"/>
    </row>
    <row r="13" spans="1:19" x14ac:dyDescent="0.25">
      <c r="A13" s="48">
        <v>2011</v>
      </c>
      <c r="B13" s="48">
        <v>4399.8882397666903</v>
      </c>
      <c r="C13" s="48">
        <v>22.764650344848601</v>
      </c>
      <c r="D13" s="48">
        <v>69.302558898925795</v>
      </c>
      <c r="E13" s="48">
        <v>67.13</v>
      </c>
      <c r="F13" s="48">
        <v>21289.257538966602</v>
      </c>
      <c r="G13" s="48">
        <v>36.148120880127003</v>
      </c>
      <c r="H13" s="48">
        <v>93.217889404296898</v>
      </c>
      <c r="I13" s="48">
        <v>74.683000000000007</v>
      </c>
      <c r="J13" s="48">
        <v>2011</v>
      </c>
      <c r="K13" s="48">
        <v>2786.8439390389299</v>
      </c>
      <c r="L13" s="48">
        <v>14.4501600265503</v>
      </c>
      <c r="M13" s="48">
        <v>59.627250671386697</v>
      </c>
      <c r="N13" s="48">
        <v>68.028000000000006</v>
      </c>
      <c r="O13" s="48">
        <v>14450.478833736201</v>
      </c>
      <c r="P13" s="48">
        <v>52.255699157714801</v>
      </c>
      <c r="Q13" s="48">
        <v>95.430908203125</v>
      </c>
      <c r="R13" s="48">
        <v>74.593000000000004</v>
      </c>
      <c r="S13" s="45"/>
    </row>
    <row r="14" spans="1:19" x14ac:dyDescent="0.25">
      <c r="A14" s="48">
        <v>2012</v>
      </c>
      <c r="B14" s="48">
        <v>4583.1731984998596</v>
      </c>
      <c r="C14" s="48">
        <v>24.267980575561499</v>
      </c>
      <c r="D14" s="48">
        <v>69.502558898925798</v>
      </c>
      <c r="E14" s="48">
        <v>67.545000000000002</v>
      </c>
      <c r="F14" s="48">
        <v>22132.216924137501</v>
      </c>
      <c r="G14" s="48">
        <v>37.612308502197301</v>
      </c>
      <c r="H14" s="48">
        <v>93.547889404296896</v>
      </c>
      <c r="I14" s="48">
        <v>74.876999999999995</v>
      </c>
      <c r="J14" s="48">
        <v>2012</v>
      </c>
      <c r="K14" s="48">
        <v>2922.6196086418799</v>
      </c>
      <c r="L14" s="48">
        <v>16.550160026550301</v>
      </c>
      <c r="M14" s="48">
        <v>60.527250671386703</v>
      </c>
      <c r="N14" s="48">
        <v>68.426000000000002</v>
      </c>
      <c r="O14" s="48">
        <v>15424.5442688037</v>
      </c>
      <c r="P14" s="48">
        <v>50.679008483886697</v>
      </c>
      <c r="Q14" s="48">
        <v>95.220908203125006</v>
      </c>
      <c r="R14" s="48">
        <v>74.992000000000004</v>
      </c>
      <c r="S14" s="45"/>
    </row>
    <row r="15" spans="1:19" x14ac:dyDescent="0.25">
      <c r="A15" s="48">
        <v>2013</v>
      </c>
      <c r="B15" s="48">
        <v>4818.5225570007497</v>
      </c>
      <c r="C15" s="48">
        <v>23.7948303222656</v>
      </c>
      <c r="D15" s="48">
        <v>70.222558898925797</v>
      </c>
      <c r="E15" s="48">
        <v>67.930999999999997</v>
      </c>
      <c r="F15" s="48">
        <v>22855.949694930201</v>
      </c>
      <c r="G15" s="48">
        <v>39.074581146240199</v>
      </c>
      <c r="H15" s="48">
        <v>93.927889404296906</v>
      </c>
      <c r="I15" s="48">
        <v>75.072000000000003</v>
      </c>
      <c r="J15" s="48">
        <v>2013</v>
      </c>
      <c r="K15" s="48">
        <v>3033.7807866490102</v>
      </c>
      <c r="L15" s="48">
        <v>17.111770629882798</v>
      </c>
      <c r="M15" s="48">
        <v>62.627250671386697</v>
      </c>
      <c r="N15" s="48">
        <v>68.805999999999997</v>
      </c>
      <c r="O15" s="48">
        <v>15767.3608137962</v>
      </c>
      <c r="P15" s="48">
        <v>49.853370666503899</v>
      </c>
      <c r="Q15" s="48">
        <v>93.702072143554702</v>
      </c>
      <c r="R15" s="48">
        <v>75.378</v>
      </c>
      <c r="S15" s="45"/>
    </row>
    <row r="16" spans="1:19" x14ac:dyDescent="0.25">
      <c r="A16" s="48">
        <v>2014</v>
      </c>
      <c r="B16" s="48">
        <v>5116.6291048476796</v>
      </c>
      <c r="C16" s="48">
        <v>25.432130813598601</v>
      </c>
      <c r="D16" s="48">
        <v>70.912558898925795</v>
      </c>
      <c r="E16" s="48">
        <v>68.286000000000001</v>
      </c>
      <c r="F16" s="48">
        <v>23906.228580443702</v>
      </c>
      <c r="G16" s="48">
        <v>39.508571624755902</v>
      </c>
      <c r="H16" s="48">
        <v>94.117889404296903</v>
      </c>
      <c r="I16" s="48">
        <v>75.268000000000001</v>
      </c>
      <c r="J16" s="48">
        <v>2014</v>
      </c>
      <c r="K16" s="48">
        <v>3217.4485097019201</v>
      </c>
      <c r="L16" s="48">
        <v>15.9937496185303</v>
      </c>
      <c r="M16" s="48">
        <v>63.227250671386699</v>
      </c>
      <c r="N16" s="48">
        <v>69.168000000000006</v>
      </c>
      <c r="O16" s="48">
        <v>15854.131858381699</v>
      </c>
      <c r="P16" s="48">
        <v>50.180061340332003</v>
      </c>
      <c r="Q16" s="48">
        <v>93.102072143554693</v>
      </c>
      <c r="R16" s="48">
        <v>75.747</v>
      </c>
      <c r="S16" s="45"/>
    </row>
    <row r="17" spans="1:19" x14ac:dyDescent="0.25">
      <c r="A17" s="48">
        <v>2015</v>
      </c>
      <c r="B17" s="48">
        <v>5464.3940573162499</v>
      </c>
      <c r="C17" s="48">
        <v>26.768989562988299</v>
      </c>
      <c r="D17" s="48">
        <v>71.302558898925795</v>
      </c>
      <c r="E17" s="48">
        <v>68.606999999999999</v>
      </c>
      <c r="F17" s="48">
        <v>24787.8237457166</v>
      </c>
      <c r="G17" s="48">
        <v>45.592708587646499</v>
      </c>
      <c r="H17" s="48">
        <v>94.547889404296896</v>
      </c>
      <c r="I17" s="48">
        <v>75.460999999999999</v>
      </c>
      <c r="J17" s="48">
        <v>2015</v>
      </c>
      <c r="K17" s="48">
        <v>3331.8717695894302</v>
      </c>
      <c r="L17" s="48">
        <v>14.9664602279663</v>
      </c>
      <c r="M17" s="48">
        <v>64.427250671386702</v>
      </c>
      <c r="N17" s="48">
        <v>69.515000000000001</v>
      </c>
      <c r="O17" s="48">
        <v>16285.386574972301</v>
      </c>
      <c r="P17" s="48">
        <v>50.580061340332001</v>
      </c>
      <c r="Q17" s="48">
        <v>92.868309020996094</v>
      </c>
      <c r="R17" s="48">
        <v>76.090999999999994</v>
      </c>
      <c r="S17" s="45"/>
    </row>
    <row r="18" spans="1:19" x14ac:dyDescent="0.25">
      <c r="A18" s="48">
        <v>2016</v>
      </c>
      <c r="B18" s="48">
        <v>5851.3948804932897</v>
      </c>
      <c r="C18" s="48">
        <v>26.829219818115199</v>
      </c>
      <c r="D18" s="48">
        <v>72.542558898925805</v>
      </c>
      <c r="E18" s="48">
        <v>68.897000000000006</v>
      </c>
      <c r="F18" s="48">
        <v>25541.770511224298</v>
      </c>
      <c r="G18" s="48">
        <v>46.762100219726598</v>
      </c>
      <c r="H18" s="48">
        <v>94.880577087402301</v>
      </c>
      <c r="I18" s="48">
        <v>75.649000000000001</v>
      </c>
      <c r="J18" s="48">
        <v>2016</v>
      </c>
      <c r="K18" s="48">
        <v>3315.81441421915</v>
      </c>
      <c r="L18" s="48">
        <v>11.6235103607178</v>
      </c>
      <c r="M18" s="48">
        <v>65.627250671386705</v>
      </c>
      <c r="N18" s="48">
        <v>69.847999999999999</v>
      </c>
      <c r="O18" s="48">
        <v>16782.098670533702</v>
      </c>
      <c r="P18" s="48">
        <v>49.286811828613303</v>
      </c>
      <c r="Q18" s="48">
        <v>93.268309020996</v>
      </c>
      <c r="R18" s="48">
        <v>76.403000000000006</v>
      </c>
      <c r="S18" s="45"/>
    </row>
    <row r="19" spans="1:19" x14ac:dyDescent="0.25">
      <c r="A19" s="48">
        <v>2017</v>
      </c>
      <c r="B19" s="48">
        <v>6182.9221085744402</v>
      </c>
      <c r="C19" s="48">
        <v>27.4421291351318</v>
      </c>
      <c r="D19" s="48">
        <v>73.342558898925802</v>
      </c>
      <c r="E19" s="48">
        <v>69.165000000000006</v>
      </c>
      <c r="F19" s="48">
        <v>26661.507416033299</v>
      </c>
      <c r="G19" s="48">
        <v>43.715179443359403</v>
      </c>
      <c r="H19" s="48">
        <v>95.082649230957003</v>
      </c>
      <c r="I19" s="48">
        <v>75.828000000000003</v>
      </c>
      <c r="J19" s="48">
        <v>2017</v>
      </c>
      <c r="K19" s="48">
        <v>3565.1978074109002</v>
      </c>
      <c r="L19" s="48">
        <v>11.591230392456101</v>
      </c>
      <c r="M19" s="48">
        <v>66.727250671386699</v>
      </c>
      <c r="N19" s="48">
        <v>70.168999999999997</v>
      </c>
      <c r="O19" s="48">
        <v>17422.952351205899</v>
      </c>
      <c r="P19" s="48">
        <v>49.886811828613297</v>
      </c>
      <c r="Q19" s="48">
        <v>93.668309020996006</v>
      </c>
      <c r="R19" s="48">
        <v>76.683000000000007</v>
      </c>
      <c r="S19" s="45"/>
    </row>
    <row r="20" spans="1:19" x14ac:dyDescent="0.25">
      <c r="A20" s="48">
        <v>2018</v>
      </c>
      <c r="B20" s="48">
        <v>6514.00255372016</v>
      </c>
      <c r="C20" s="48">
        <v>28.060550689697301</v>
      </c>
      <c r="D20" s="48">
        <v>74.372993469238295</v>
      </c>
      <c r="E20" s="48">
        <v>69.415999999999997</v>
      </c>
      <c r="F20" s="48">
        <v>27577.380563876399</v>
      </c>
      <c r="G20" s="48">
        <v>45.125389099121101</v>
      </c>
      <c r="H20" s="48">
        <v>94.854408264160199</v>
      </c>
      <c r="I20" s="48">
        <v>75.997</v>
      </c>
      <c r="J20" s="48">
        <v>2018</v>
      </c>
      <c r="K20" s="48">
        <v>3773.71591770545</v>
      </c>
      <c r="L20" s="48">
        <v>12.410860061645501</v>
      </c>
      <c r="M20" s="48">
        <v>67.908432006835895</v>
      </c>
      <c r="N20" s="48">
        <v>70.477999999999994</v>
      </c>
      <c r="O20" s="48">
        <v>18101.517501623301</v>
      </c>
      <c r="P20" s="48">
        <v>49.986811828613298</v>
      </c>
      <c r="Q20" s="48">
        <v>93.767761230468807</v>
      </c>
      <c r="R20" s="48">
        <v>76.930999999999997</v>
      </c>
      <c r="S20" s="45"/>
    </row>
    <row r="21" spans="1:19" x14ac:dyDescent="0.25">
      <c r="A21" s="48">
        <v>2019</v>
      </c>
      <c r="B21" s="48">
        <v>6689.3653537804503</v>
      </c>
      <c r="C21" s="48">
        <v>28.572900772094702</v>
      </c>
      <c r="D21" s="48">
        <v>74.552993469238302</v>
      </c>
      <c r="E21" s="48">
        <v>69.656000000000006</v>
      </c>
      <c r="F21" s="48">
        <v>28421.462481390401</v>
      </c>
      <c r="G21" s="48">
        <v>43.061611175537102</v>
      </c>
      <c r="H21" s="48">
        <v>94.971130371093807</v>
      </c>
      <c r="I21" s="48">
        <v>76.156000000000006</v>
      </c>
      <c r="J21" s="48">
        <v>2019</v>
      </c>
      <c r="K21" s="48">
        <v>3952.76034924449</v>
      </c>
      <c r="L21" s="48">
        <v>13.326829910278301</v>
      </c>
      <c r="M21" s="48">
        <v>68.108432006835898</v>
      </c>
      <c r="N21" s="48">
        <v>70.778000000000006</v>
      </c>
      <c r="O21" s="48">
        <v>18438.647380779799</v>
      </c>
      <c r="P21" s="48">
        <v>50.286811828613303</v>
      </c>
      <c r="Q21" s="48">
        <v>93.877761230468806</v>
      </c>
      <c r="R21" s="48">
        <v>77.150000000000006</v>
      </c>
      <c r="S21" s="45"/>
    </row>
    <row r="22" spans="1:19" x14ac:dyDescent="0.25">
      <c r="A22" s="48">
        <v>2020</v>
      </c>
      <c r="B22" s="48">
        <v>6186.6143947380697</v>
      </c>
      <c r="C22" s="48">
        <v>29.441329956054702</v>
      </c>
      <c r="D22" s="48">
        <v>75.322993469238298</v>
      </c>
      <c r="E22" s="48">
        <v>69.887</v>
      </c>
      <c r="F22" s="48">
        <v>26471.6738191859</v>
      </c>
      <c r="G22" s="48">
        <v>42.567218780517599</v>
      </c>
      <c r="H22" s="48">
        <v>94.9992130371093</v>
      </c>
      <c r="I22" s="48">
        <v>76.305999999999997</v>
      </c>
      <c r="J22" s="48">
        <v>2020</v>
      </c>
      <c r="K22" s="48">
        <v>3789.1503715316699</v>
      </c>
      <c r="L22" s="48">
        <v>13.457739830017101</v>
      </c>
      <c r="M22" s="48">
        <v>68.308432006835901</v>
      </c>
      <c r="N22" s="48">
        <v>71.066999999999993</v>
      </c>
      <c r="O22" s="48">
        <v>17253.067783224898</v>
      </c>
      <c r="P22" s="48">
        <v>50.3368118286133</v>
      </c>
      <c r="Q22" s="48">
        <v>93.967761230468795</v>
      </c>
      <c r="R22" s="48">
        <v>77.343999999999994</v>
      </c>
      <c r="S22" s="45"/>
    </row>
    <row r="23" spans="1:19" x14ac:dyDescent="0.25">
      <c r="A23" s="48">
        <v>2021</v>
      </c>
      <c r="B23" s="48">
        <v>6675.3494533172197</v>
      </c>
      <c r="C23" s="48">
        <v>29.441329956054702</v>
      </c>
      <c r="D23" s="48">
        <v>75.322993469238298</v>
      </c>
      <c r="E23" s="48">
        <v>69.887</v>
      </c>
      <c r="F23" s="48">
        <v>26959.249256409101</v>
      </c>
      <c r="G23" s="48">
        <v>42.567218780517599</v>
      </c>
      <c r="H23" s="48">
        <v>94.9992130371093</v>
      </c>
      <c r="I23" s="48">
        <v>76.305999999999997</v>
      </c>
      <c r="J23" s="48">
        <v>2021</v>
      </c>
      <c r="K23" s="48">
        <v>3878.444420455</v>
      </c>
      <c r="L23" s="48">
        <v>13.457739830017101</v>
      </c>
      <c r="M23" s="48">
        <v>68.308432006835901</v>
      </c>
      <c r="N23" s="48">
        <v>71.066999999999993</v>
      </c>
      <c r="O23" s="48">
        <v>17485.508519387899</v>
      </c>
      <c r="P23" s="48">
        <v>50.3368118286133</v>
      </c>
      <c r="Q23" s="48">
        <v>93.967761230468795</v>
      </c>
      <c r="R23" s="48">
        <v>77.343999999999994</v>
      </c>
      <c r="S23" s="45"/>
    </row>
    <row r="24" spans="1:19" x14ac:dyDescent="0.2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</row>
    <row r="25" spans="1:19" x14ac:dyDescent="0.25">
      <c r="A25" s="45"/>
      <c r="B25" s="45" t="s">
        <v>62</v>
      </c>
      <c r="C25" s="45" t="s">
        <v>63</v>
      </c>
      <c r="D25" s="45" t="s">
        <v>64</v>
      </c>
      <c r="E25" s="45" t="s">
        <v>42</v>
      </c>
      <c r="F25" s="45" t="s">
        <v>62</v>
      </c>
      <c r="G25" s="45" t="s">
        <v>63</v>
      </c>
      <c r="H25" s="45" t="s">
        <v>64</v>
      </c>
      <c r="I25" s="45" t="s">
        <v>42</v>
      </c>
      <c r="J25" s="45"/>
      <c r="K25" s="45" t="s">
        <v>62</v>
      </c>
      <c r="L25" s="45" t="s">
        <v>63</v>
      </c>
      <c r="M25" s="45" t="s">
        <v>64</v>
      </c>
      <c r="N25" s="45" t="s">
        <v>42</v>
      </c>
      <c r="O25" s="45" t="s">
        <v>62</v>
      </c>
      <c r="P25" s="45" t="s">
        <v>63</v>
      </c>
      <c r="Q25" s="45" t="s">
        <v>64</v>
      </c>
      <c r="R25" s="45" t="s">
        <v>42</v>
      </c>
      <c r="S25" s="45"/>
    </row>
    <row r="26" spans="1:19" x14ac:dyDescent="0.25">
      <c r="A26" s="45"/>
      <c r="B26" s="45">
        <f>(LN(B3)-LN(100))/(LN(75000)-LN(100))</f>
        <v>0.49541038016209843</v>
      </c>
      <c r="C26" s="45">
        <f>GEOMEAN((C3/100),(D3/100))</f>
        <v>0.24320889310198474</v>
      </c>
      <c r="D26" s="45">
        <f>(E3-20)/(85-20)</f>
        <v>0.66010769230769228</v>
      </c>
      <c r="E26" s="45">
        <f>GEOMEAN(B26:D26)</f>
        <v>0.43005082215079565</v>
      </c>
      <c r="F26" s="45">
        <f>(LN(F3)-LN(100))/(LN(75000)-LN(100))</f>
        <v>0.76331251380479603</v>
      </c>
      <c r="G26" s="45">
        <f>GEOMEAN((G3/100),(H3/100))</f>
        <v>0.48219727051606509</v>
      </c>
      <c r="H26" s="45">
        <f>(I3-20)/(85-20)</f>
        <v>0.81203076923076922</v>
      </c>
      <c r="I26" s="45">
        <f t="shared" ref="I26:I46" si="0">GEOMEAN(F26:H26)</f>
        <v>0.66860025605018969</v>
      </c>
      <c r="J26" s="45"/>
      <c r="K26" s="45">
        <f>(LN(K3)-LN(100))/(LN(75000)-LN(100))</f>
        <v>0.46248340842117697</v>
      </c>
      <c r="L26" s="45">
        <f>GEOMEAN((L3/100),(M3/100))</f>
        <v>0.14784154041863012</v>
      </c>
      <c r="M26" s="45">
        <f>(N3-20)/(85-20)</f>
        <v>0.66069230769230769</v>
      </c>
      <c r="N26" s="45">
        <f>GEOMEAN(K26:M26)</f>
        <v>0.35614809756979293</v>
      </c>
      <c r="O26" s="45">
        <f>(LN(O3)-LN(100))/(LN(75000)-LN(100))</f>
        <v>0.696448083454689</v>
      </c>
      <c r="P26" s="45">
        <f>GEOMEAN((P3/100),(Q3/100))</f>
        <v>0.60317193321990348</v>
      </c>
      <c r="Q26" s="45">
        <f>(R3-20)/(85-20)</f>
        <v>0.78203076923076908</v>
      </c>
      <c r="R26" s="45">
        <f>GEOMEAN(O26:Q26)</f>
        <v>0.690003411114402</v>
      </c>
      <c r="S26" s="45"/>
    </row>
    <row r="27" spans="1:19" x14ac:dyDescent="0.25">
      <c r="A27" s="45"/>
      <c r="B27" s="45">
        <f t="shared" ref="B27:B45" si="1">(LN(B4)-LN(100))/(LN(75000)-LN(100))</f>
        <v>0.49849772748544491</v>
      </c>
      <c r="C27" s="45">
        <f t="shared" ref="C27:C46" si="2">GEOMEAN((C4/100),(D4/100))</f>
        <v>0.2495886801836138</v>
      </c>
      <c r="D27" s="45">
        <f t="shared" ref="D27:D46" si="3">(E4-20)/(85-20)</f>
        <v>0.66621538461538465</v>
      </c>
      <c r="E27" s="45">
        <f t="shared" ref="E27:E46" si="4">GEOMEAN(B27:D27)</f>
        <v>0.43601447585577308</v>
      </c>
      <c r="F27" s="45">
        <f t="shared" ref="F27:F46" si="5">(LN(F4)-LN(100))/(LN(75000)-LN(100))</f>
        <v>0.76809602756643891</v>
      </c>
      <c r="G27" s="45">
        <f t="shared" ref="G27:G46" si="6">GEOMEAN((G4/100),(H4/100))</f>
        <v>0.5053524497271531</v>
      </c>
      <c r="H27" s="45">
        <f t="shared" ref="H27:H46" si="7">(I4-20)/(85-20)</f>
        <v>0.81501538461538459</v>
      </c>
      <c r="I27" s="45">
        <f t="shared" si="0"/>
        <v>0.68138395129517659</v>
      </c>
      <c r="J27" s="45"/>
      <c r="K27" s="45">
        <f t="shared" ref="K27:K46" si="8">(LN(K4)-LN(100))/(LN(75000)-LN(100))</f>
        <v>0.46033446470363598</v>
      </c>
      <c r="L27" s="45">
        <f t="shared" ref="L27:L46" si="9">GEOMEAN((L4/100),(M4/100))</f>
        <v>0.16029743066147029</v>
      </c>
      <c r="M27" s="45">
        <f t="shared" ref="M27:M46" si="10">(N4-20)/(85-20)</f>
        <v>0.67030769230769227</v>
      </c>
      <c r="N27" s="45">
        <f t="shared" ref="N27:N46" si="11">GEOMEAN(K27:M27)</f>
        <v>0.36707777048467294</v>
      </c>
      <c r="O27" s="45">
        <f t="shared" ref="O27:O46" si="12">(LN(O4)-LN(100))/(LN(75000)-LN(100))</f>
        <v>0.70420762345450516</v>
      </c>
      <c r="P27" s="45">
        <f t="shared" ref="P27:P46" si="13">GEOMEAN((P4/100),(Q4/100))</f>
        <v>0.61029537317772053</v>
      </c>
      <c r="Q27" s="45">
        <f t="shared" ref="Q27:Q46" si="14">(R4-20)/(85-20)</f>
        <v>0.78598461538461539</v>
      </c>
      <c r="R27" s="45">
        <f t="shared" ref="R27:R46" si="15">GEOMEAN(O27:Q27)</f>
        <v>0.69644199091437453</v>
      </c>
      <c r="S27" s="45"/>
    </row>
    <row r="28" spans="1:19" x14ac:dyDescent="0.25">
      <c r="A28" s="45"/>
      <c r="B28" s="45">
        <f t="shared" si="1"/>
        <v>0.50743305586461906</v>
      </c>
      <c r="C28" s="45">
        <f t="shared" si="2"/>
        <v>0.25553423394814001</v>
      </c>
      <c r="D28" s="45">
        <f t="shared" si="3"/>
        <v>0.67229230769230763</v>
      </c>
      <c r="E28" s="45">
        <f t="shared" si="4"/>
        <v>0.44339963307137376</v>
      </c>
      <c r="F28" s="45">
        <f t="shared" si="5"/>
        <v>0.7735665749298456</v>
      </c>
      <c r="G28" s="45">
        <f t="shared" si="6"/>
        <v>0.53379976758251457</v>
      </c>
      <c r="H28" s="45">
        <f t="shared" si="7"/>
        <v>0.81800000000000006</v>
      </c>
      <c r="I28" s="45">
        <f t="shared" si="0"/>
        <v>0.69642837899900967</v>
      </c>
      <c r="J28" s="45"/>
      <c r="K28" s="45">
        <f t="shared" si="8"/>
        <v>0.46402421888046086</v>
      </c>
      <c r="L28" s="45">
        <f t="shared" si="9"/>
        <v>0.16304430172158388</v>
      </c>
      <c r="M28" s="45">
        <f t="shared" si="10"/>
        <v>0.67946153846153856</v>
      </c>
      <c r="N28" s="45">
        <f t="shared" si="11"/>
        <v>0.37182368487668177</v>
      </c>
      <c r="O28" s="45">
        <f t="shared" si="12"/>
        <v>0.7135654863737495</v>
      </c>
      <c r="P28" s="45">
        <f t="shared" si="13"/>
        <v>0.61783587316376798</v>
      </c>
      <c r="Q28" s="45">
        <f t="shared" si="14"/>
        <v>0.79059999999999997</v>
      </c>
      <c r="R28" s="45">
        <f t="shared" si="15"/>
        <v>0.70375461470802803</v>
      </c>
      <c r="S28" s="45"/>
    </row>
    <row r="29" spans="1:19" x14ac:dyDescent="0.25">
      <c r="A29" s="45"/>
      <c r="B29" s="45">
        <f t="shared" si="1"/>
        <v>0.51651062218951427</v>
      </c>
      <c r="C29" s="45">
        <f t="shared" si="2"/>
        <v>0.25942030790595344</v>
      </c>
      <c r="D29" s="45">
        <f t="shared" si="3"/>
        <v>0.67838461538461536</v>
      </c>
      <c r="E29" s="45">
        <f t="shared" si="4"/>
        <v>0.4496277144319783</v>
      </c>
      <c r="F29" s="45">
        <f t="shared" si="5"/>
        <v>0.780502357127008</v>
      </c>
      <c r="G29" s="45">
        <f t="shared" si="6"/>
        <v>0.52879180702884854</v>
      </c>
      <c r="H29" s="45">
        <f t="shared" si="7"/>
        <v>0.82098461538461542</v>
      </c>
      <c r="I29" s="45">
        <f t="shared" si="0"/>
        <v>0.69715816561573141</v>
      </c>
      <c r="J29" s="45"/>
      <c r="K29" s="45">
        <f t="shared" si="8"/>
        <v>0.468912137527499</v>
      </c>
      <c r="L29" s="45">
        <f t="shared" si="9"/>
        <v>0.17802517925866757</v>
      </c>
      <c r="M29" s="45">
        <f t="shared" si="10"/>
        <v>0.68813846153846148</v>
      </c>
      <c r="N29" s="45">
        <f t="shared" si="11"/>
        <v>0.38584799344076082</v>
      </c>
      <c r="O29" s="45">
        <f t="shared" si="12"/>
        <v>0.72174030283112256</v>
      </c>
      <c r="P29" s="45">
        <f t="shared" si="13"/>
        <v>0.62292065519566187</v>
      </c>
      <c r="Q29" s="45">
        <f t="shared" si="14"/>
        <v>0.79581538461538448</v>
      </c>
      <c r="R29" s="45">
        <f t="shared" si="15"/>
        <v>0.70991879347698006</v>
      </c>
      <c r="S29" s="45"/>
    </row>
    <row r="30" spans="1:19" x14ac:dyDescent="0.25">
      <c r="A30" s="45"/>
      <c r="B30" s="45">
        <f t="shared" si="1"/>
        <v>0.52564265451714276</v>
      </c>
      <c r="C30" s="45">
        <f t="shared" si="2"/>
        <v>0.25735057249506116</v>
      </c>
      <c r="D30" s="45">
        <f t="shared" si="3"/>
        <v>0.68461538461538463</v>
      </c>
      <c r="E30" s="45">
        <f t="shared" si="4"/>
        <v>0.45243285056532023</v>
      </c>
      <c r="F30" s="45">
        <f t="shared" si="5"/>
        <v>0.78538076639873733</v>
      </c>
      <c r="G30" s="45">
        <f t="shared" si="6"/>
        <v>0.50982980063737815</v>
      </c>
      <c r="H30" s="45">
        <f t="shared" si="7"/>
        <v>0.82392307692307698</v>
      </c>
      <c r="I30" s="45">
        <f t="shared" si="0"/>
        <v>0.69097772705637273</v>
      </c>
      <c r="J30" s="45"/>
      <c r="K30" s="45">
        <f t="shared" si="8"/>
        <v>0.47215823889449615</v>
      </c>
      <c r="L30" s="45">
        <f t="shared" si="9"/>
        <v>0.20204760822265039</v>
      </c>
      <c r="M30" s="45">
        <f t="shared" si="10"/>
        <v>0.69636923076923074</v>
      </c>
      <c r="N30" s="45">
        <f t="shared" si="11"/>
        <v>0.4050049082956152</v>
      </c>
      <c r="O30" s="45">
        <f t="shared" si="12"/>
        <v>0.72696207935594548</v>
      </c>
      <c r="P30" s="45">
        <f t="shared" si="13"/>
        <v>0.64561855863397466</v>
      </c>
      <c r="Q30" s="45">
        <f t="shared" si="14"/>
        <v>0.801523076923077</v>
      </c>
      <c r="R30" s="45">
        <f t="shared" si="15"/>
        <v>0.72188485637487287</v>
      </c>
      <c r="S30" s="45"/>
    </row>
    <row r="31" spans="1:19" x14ac:dyDescent="0.25">
      <c r="A31" s="45"/>
      <c r="B31" s="45">
        <f t="shared" si="1"/>
        <v>0.53501811841236524</v>
      </c>
      <c r="C31" s="45">
        <f t="shared" si="2"/>
        <v>0.26848098967538153</v>
      </c>
      <c r="D31" s="45">
        <f t="shared" si="3"/>
        <v>0.69104615384615398</v>
      </c>
      <c r="E31" s="45">
        <f t="shared" si="4"/>
        <v>0.46301638649453819</v>
      </c>
      <c r="F31" s="45">
        <f t="shared" si="5"/>
        <v>0.79061279967049869</v>
      </c>
      <c r="G31" s="45">
        <f t="shared" si="6"/>
        <v>0.51431332370765914</v>
      </c>
      <c r="H31" s="45">
        <f t="shared" si="7"/>
        <v>0.82683076923076926</v>
      </c>
      <c r="I31" s="45">
        <f t="shared" si="0"/>
        <v>0.6953488627948553</v>
      </c>
      <c r="J31" s="45"/>
      <c r="K31" s="45">
        <f t="shared" si="8"/>
        <v>0.47527835150414988</v>
      </c>
      <c r="L31" s="45">
        <f t="shared" si="9"/>
        <v>0.21068196912013495</v>
      </c>
      <c r="M31" s="45">
        <f t="shared" si="10"/>
        <v>0.70419999999999994</v>
      </c>
      <c r="N31" s="45">
        <f t="shared" si="11"/>
        <v>0.41313355887375153</v>
      </c>
      <c r="O31" s="45">
        <f t="shared" si="12"/>
        <v>0.73337332607361538</v>
      </c>
      <c r="P31" s="45">
        <f t="shared" si="13"/>
        <v>0.64799561035169428</v>
      </c>
      <c r="Q31" s="45">
        <f t="shared" si="14"/>
        <v>0.80767692307692296</v>
      </c>
      <c r="R31" s="45">
        <f t="shared" si="15"/>
        <v>0.72673869173530281</v>
      </c>
      <c r="S31" s="45"/>
    </row>
    <row r="32" spans="1:19" x14ac:dyDescent="0.25">
      <c r="A32" s="45"/>
      <c r="B32" s="45">
        <f t="shared" si="1"/>
        <v>0.54388860611859635</v>
      </c>
      <c r="C32" s="45">
        <f t="shared" si="2"/>
        <v>0.28942566606428871</v>
      </c>
      <c r="D32" s="45">
        <f t="shared" si="3"/>
        <v>0.69769230769230761</v>
      </c>
      <c r="E32" s="45">
        <f t="shared" si="4"/>
        <v>0.47889133498171405</v>
      </c>
      <c r="F32" s="45">
        <f t="shared" si="5"/>
        <v>0.79688034103204675</v>
      </c>
      <c r="G32" s="45">
        <f t="shared" si="6"/>
        <v>0.52857711270785845</v>
      </c>
      <c r="H32" s="45">
        <f t="shared" si="7"/>
        <v>0.82970769230769226</v>
      </c>
      <c r="I32" s="45">
        <f t="shared" si="0"/>
        <v>0.70438299247658887</v>
      </c>
      <c r="J32" s="45"/>
      <c r="K32" s="45">
        <f t="shared" si="8"/>
        <v>0.47852613114352044</v>
      </c>
      <c r="L32" s="45">
        <f t="shared" si="9"/>
        <v>0.23736506960621045</v>
      </c>
      <c r="M32" s="45">
        <f t="shared" si="10"/>
        <v>0.71169230769230774</v>
      </c>
      <c r="N32" s="45">
        <f t="shared" si="11"/>
        <v>0.432385956249632</v>
      </c>
      <c r="O32" s="45">
        <f t="shared" si="12"/>
        <v>0.74052231197538076</v>
      </c>
      <c r="P32" s="45">
        <f t="shared" si="13"/>
        <v>0.67778296265836724</v>
      </c>
      <c r="Q32" s="45">
        <f t="shared" si="14"/>
        <v>0.81409230769230767</v>
      </c>
      <c r="R32" s="45">
        <f t="shared" si="15"/>
        <v>0.74205167394156524</v>
      </c>
      <c r="S32" s="45"/>
    </row>
    <row r="33" spans="1:19" x14ac:dyDescent="0.25">
      <c r="A33" s="45"/>
      <c r="B33" s="45">
        <f t="shared" si="1"/>
        <v>0.54626792690256198</v>
      </c>
      <c r="C33" s="45">
        <f t="shared" si="2"/>
        <v>0.31212555678630938</v>
      </c>
      <c r="D33" s="45">
        <f t="shared" si="3"/>
        <v>0.70452307692307692</v>
      </c>
      <c r="E33" s="45">
        <f t="shared" si="4"/>
        <v>0.49341242913723427</v>
      </c>
      <c r="F33" s="45">
        <f t="shared" si="5"/>
        <v>0.80112093365316983</v>
      </c>
      <c r="G33" s="45">
        <f t="shared" si="6"/>
        <v>0.55801197630284227</v>
      </c>
      <c r="H33" s="45">
        <f t="shared" si="7"/>
        <v>0.83258461538461526</v>
      </c>
      <c r="I33" s="45">
        <f t="shared" si="0"/>
        <v>0.71932197381088003</v>
      </c>
      <c r="J33" s="45"/>
      <c r="K33" s="45">
        <f t="shared" si="8"/>
        <v>0.48585967856003676</v>
      </c>
      <c r="L33" s="45">
        <f t="shared" si="9"/>
        <v>0.25180051277362808</v>
      </c>
      <c r="M33" s="45">
        <f t="shared" si="10"/>
        <v>0.71887692307692319</v>
      </c>
      <c r="N33" s="45">
        <f t="shared" si="11"/>
        <v>0.44470703900579267</v>
      </c>
      <c r="O33" s="45">
        <f t="shared" si="12"/>
        <v>0.74231255859663803</v>
      </c>
      <c r="P33" s="45">
        <f t="shared" si="13"/>
        <v>0.67440243001661371</v>
      </c>
      <c r="Q33" s="45">
        <f t="shared" si="14"/>
        <v>0.82063076923076916</v>
      </c>
      <c r="R33" s="45">
        <f t="shared" si="15"/>
        <v>0.74339204668169112</v>
      </c>
      <c r="S33" s="45"/>
    </row>
    <row r="34" spans="1:19" x14ac:dyDescent="0.25">
      <c r="A34" s="45"/>
      <c r="B34" s="45">
        <f t="shared" si="1"/>
        <v>0.5555692724623511</v>
      </c>
      <c r="C34" s="45">
        <f t="shared" si="2"/>
        <v>0.32712936584419289</v>
      </c>
      <c r="D34" s="45">
        <f t="shared" si="3"/>
        <v>0.71144615384615384</v>
      </c>
      <c r="E34" s="45">
        <f t="shared" si="4"/>
        <v>0.50566930860167636</v>
      </c>
      <c r="F34" s="45">
        <f t="shared" si="5"/>
        <v>0.79607449694190846</v>
      </c>
      <c r="G34" s="45">
        <f t="shared" si="6"/>
        <v>0.57490469228173025</v>
      </c>
      <c r="H34" s="45">
        <f t="shared" si="7"/>
        <v>0.83546153846153859</v>
      </c>
      <c r="I34" s="45">
        <f t="shared" si="0"/>
        <v>0.72581400168200205</v>
      </c>
      <c r="J34" s="45"/>
      <c r="K34" s="45">
        <f t="shared" si="8"/>
        <v>0.49133252483375411</v>
      </c>
      <c r="L34" s="45">
        <f t="shared" si="9"/>
        <v>0.2535239369491144</v>
      </c>
      <c r="M34" s="45">
        <f t="shared" si="10"/>
        <v>0.72581538461538453</v>
      </c>
      <c r="N34" s="45">
        <f t="shared" si="11"/>
        <v>0.44882139505502672</v>
      </c>
      <c r="O34" s="45">
        <f t="shared" si="12"/>
        <v>0.74050509733401582</v>
      </c>
      <c r="P34" s="45">
        <f t="shared" si="13"/>
        <v>0.68104661798678134</v>
      </c>
      <c r="Q34" s="45">
        <f t="shared" si="14"/>
        <v>0.82716923076923088</v>
      </c>
      <c r="R34" s="45">
        <f t="shared" si="15"/>
        <v>0.74719350481665792</v>
      </c>
      <c r="S34" s="45"/>
    </row>
    <row r="35" spans="1:19" x14ac:dyDescent="0.25">
      <c r="A35" s="45"/>
      <c r="B35" s="45">
        <f t="shared" si="1"/>
        <v>0.56584927098646687</v>
      </c>
      <c r="C35" s="45">
        <f t="shared" si="2"/>
        <v>0.34888995486277447</v>
      </c>
      <c r="D35" s="45">
        <f t="shared" si="3"/>
        <v>0.71835384615384612</v>
      </c>
      <c r="E35" s="45">
        <f t="shared" si="4"/>
        <v>0.52148587453473705</v>
      </c>
      <c r="F35" s="45">
        <f t="shared" si="5"/>
        <v>0.80433894155125552</v>
      </c>
      <c r="G35" s="45">
        <f t="shared" si="6"/>
        <v>0.58720109438933188</v>
      </c>
      <c r="H35" s="45">
        <f t="shared" si="7"/>
        <v>0.83835384615384612</v>
      </c>
      <c r="I35" s="45">
        <f t="shared" si="0"/>
        <v>0.73431844566281756</v>
      </c>
      <c r="J35" s="45"/>
      <c r="K35" s="45">
        <f t="shared" si="8"/>
        <v>0.49771133285352859</v>
      </c>
      <c r="L35" s="45">
        <f t="shared" si="9"/>
        <v>0.28617074082950211</v>
      </c>
      <c r="M35" s="45">
        <f t="shared" si="10"/>
        <v>0.73247692307692314</v>
      </c>
      <c r="N35" s="45">
        <f t="shared" si="11"/>
        <v>0.47075929239916042</v>
      </c>
      <c r="O35" s="45">
        <f t="shared" si="12"/>
        <v>0.7507087594285764</v>
      </c>
      <c r="P35" s="45">
        <f t="shared" si="13"/>
        <v>0.69697073013228705</v>
      </c>
      <c r="Q35" s="45">
        <f t="shared" si="14"/>
        <v>0.83360000000000001</v>
      </c>
      <c r="R35" s="45">
        <f t="shared" si="15"/>
        <v>0.75837017191640232</v>
      </c>
      <c r="S35" s="45"/>
    </row>
    <row r="36" spans="1:19" x14ac:dyDescent="0.25">
      <c r="A36" s="45"/>
      <c r="B36" s="45">
        <f t="shared" si="1"/>
        <v>0.57161969595891615</v>
      </c>
      <c r="C36" s="45">
        <f t="shared" si="2"/>
        <v>0.39719623882123073</v>
      </c>
      <c r="D36" s="45">
        <f t="shared" si="3"/>
        <v>0.72507692307692295</v>
      </c>
      <c r="E36" s="45">
        <f t="shared" si="4"/>
        <v>0.54806507980037256</v>
      </c>
      <c r="F36" s="45">
        <f t="shared" si="5"/>
        <v>0.80977770643156277</v>
      </c>
      <c r="G36" s="45">
        <f t="shared" si="6"/>
        <v>0.58048699678604643</v>
      </c>
      <c r="H36" s="45">
        <f t="shared" si="7"/>
        <v>0.84127692307692314</v>
      </c>
      <c r="I36" s="45">
        <f t="shared" si="0"/>
        <v>0.73400513131933542</v>
      </c>
      <c r="J36" s="45"/>
      <c r="K36" s="45">
        <f t="shared" si="8"/>
        <v>0.50263716730571584</v>
      </c>
      <c r="L36" s="45">
        <f t="shared" si="9"/>
        <v>0.29353420825259302</v>
      </c>
      <c r="M36" s="45">
        <f t="shared" si="10"/>
        <v>0.73889230769230774</v>
      </c>
      <c r="N36" s="45">
        <f t="shared" si="11"/>
        <v>0.47771053814793962</v>
      </c>
      <c r="O36" s="45">
        <f t="shared" si="12"/>
        <v>0.75124737886286941</v>
      </c>
      <c r="P36" s="45">
        <f t="shared" si="13"/>
        <v>0.70617340854849509</v>
      </c>
      <c r="Q36" s="45">
        <f t="shared" si="14"/>
        <v>0.83989230769230772</v>
      </c>
      <c r="R36" s="45">
        <f t="shared" si="15"/>
        <v>0.76378767222277544</v>
      </c>
      <c r="S36" s="45"/>
    </row>
    <row r="37" spans="1:19" x14ac:dyDescent="0.25">
      <c r="A37" s="45"/>
      <c r="B37" s="45">
        <f t="shared" si="1"/>
        <v>0.57778465131562151</v>
      </c>
      <c r="C37" s="45">
        <f t="shared" si="2"/>
        <v>0.41069292047842149</v>
      </c>
      <c r="D37" s="45">
        <f t="shared" si="3"/>
        <v>0.7314615384615385</v>
      </c>
      <c r="E37" s="45">
        <f t="shared" si="4"/>
        <v>0.55781677539677332</v>
      </c>
      <c r="F37" s="45">
        <f t="shared" si="5"/>
        <v>0.81564346056403481</v>
      </c>
      <c r="G37" s="45">
        <f t="shared" si="6"/>
        <v>0.59317384264681194</v>
      </c>
      <c r="H37" s="45">
        <f t="shared" si="7"/>
        <v>0.8442615384615384</v>
      </c>
      <c r="I37" s="45">
        <f t="shared" si="0"/>
        <v>0.74197018076613241</v>
      </c>
      <c r="J37" s="45"/>
      <c r="K37" s="45">
        <f t="shared" si="8"/>
        <v>0.50982297748836014</v>
      </c>
      <c r="L37" s="45">
        <f t="shared" si="9"/>
        <v>0.31650208286495907</v>
      </c>
      <c r="M37" s="45">
        <f t="shared" si="10"/>
        <v>0.74501538461538463</v>
      </c>
      <c r="N37" s="45">
        <f t="shared" si="11"/>
        <v>0.49353778331789011</v>
      </c>
      <c r="O37" s="45">
        <f t="shared" si="12"/>
        <v>0.76110111779527856</v>
      </c>
      <c r="P37" s="45">
        <f t="shared" si="13"/>
        <v>0.69467267217514528</v>
      </c>
      <c r="Q37" s="45">
        <f t="shared" si="14"/>
        <v>0.84603076923076925</v>
      </c>
      <c r="R37" s="45">
        <f t="shared" si="15"/>
        <v>0.76477951058032356</v>
      </c>
      <c r="S37" s="45"/>
    </row>
    <row r="38" spans="1:19" x14ac:dyDescent="0.25">
      <c r="A38" s="45"/>
      <c r="B38" s="45">
        <f t="shared" si="1"/>
        <v>0.5853488820640651</v>
      </c>
      <c r="C38" s="45">
        <f t="shared" si="2"/>
        <v>0.4087705803742781</v>
      </c>
      <c r="D38" s="45">
        <f t="shared" si="3"/>
        <v>0.73739999999999994</v>
      </c>
      <c r="E38" s="45">
        <f t="shared" si="4"/>
        <v>0.56087470319624566</v>
      </c>
      <c r="F38" s="45">
        <f t="shared" si="5"/>
        <v>0.82050400161814852</v>
      </c>
      <c r="G38" s="45">
        <f t="shared" si="6"/>
        <v>0.60582117298946181</v>
      </c>
      <c r="H38" s="45">
        <f t="shared" si="7"/>
        <v>0.84726153846153851</v>
      </c>
      <c r="I38" s="45">
        <f t="shared" si="0"/>
        <v>0.74957348270770718</v>
      </c>
      <c r="J38" s="45"/>
      <c r="K38" s="45">
        <f t="shared" si="8"/>
        <v>0.51546178004283172</v>
      </c>
      <c r="L38" s="45">
        <f t="shared" si="9"/>
        <v>0.32736266565827915</v>
      </c>
      <c r="M38" s="45">
        <f t="shared" si="10"/>
        <v>0.75086153846153847</v>
      </c>
      <c r="N38" s="45">
        <f t="shared" si="11"/>
        <v>0.50225988419801204</v>
      </c>
      <c r="O38" s="45">
        <f t="shared" si="12"/>
        <v>0.76442162604905239</v>
      </c>
      <c r="P38" s="45">
        <f t="shared" si="13"/>
        <v>0.68347378404677106</v>
      </c>
      <c r="Q38" s="45">
        <f t="shared" si="14"/>
        <v>0.85196923076923081</v>
      </c>
      <c r="R38" s="45">
        <f t="shared" si="15"/>
        <v>0.7635302457747758</v>
      </c>
      <c r="S38" s="45"/>
    </row>
    <row r="39" spans="1:19" x14ac:dyDescent="0.25">
      <c r="A39" s="45"/>
      <c r="B39" s="45">
        <f t="shared" si="1"/>
        <v>0.59441652901637543</v>
      </c>
      <c r="C39" s="45">
        <f t="shared" si="2"/>
        <v>0.42467134047925775</v>
      </c>
      <c r="D39" s="45">
        <f t="shared" si="3"/>
        <v>0.74286153846153846</v>
      </c>
      <c r="E39" s="45">
        <f t="shared" si="4"/>
        <v>0.57237927639829767</v>
      </c>
      <c r="F39" s="45">
        <f t="shared" si="5"/>
        <v>0.82729056872611495</v>
      </c>
      <c r="G39" s="45">
        <f t="shared" si="6"/>
        <v>0.60979204444634394</v>
      </c>
      <c r="H39" s="45">
        <f t="shared" si="7"/>
        <v>0.85027692307692304</v>
      </c>
      <c r="I39" s="45">
        <f t="shared" si="0"/>
        <v>0.75416563645795842</v>
      </c>
      <c r="J39" s="45"/>
      <c r="K39" s="45">
        <f t="shared" si="8"/>
        <v>0.52434068957566216</v>
      </c>
      <c r="L39" s="45">
        <f t="shared" si="9"/>
        <v>0.31800012835000724</v>
      </c>
      <c r="M39" s="45">
        <f t="shared" si="10"/>
        <v>0.75643076923076935</v>
      </c>
      <c r="N39" s="45">
        <f t="shared" si="11"/>
        <v>0.50149893392288614</v>
      </c>
      <c r="O39" s="45">
        <f t="shared" si="12"/>
        <v>0.76525063792631898</v>
      </c>
      <c r="P39" s="45">
        <f t="shared" si="13"/>
        <v>0.68351062106419314</v>
      </c>
      <c r="Q39" s="45">
        <f t="shared" si="14"/>
        <v>0.85764615384615384</v>
      </c>
      <c r="R39" s="45">
        <f t="shared" si="15"/>
        <v>0.76551264814044151</v>
      </c>
      <c r="S39" s="45"/>
    </row>
    <row r="40" spans="1:19" x14ac:dyDescent="0.25">
      <c r="A40" s="45"/>
      <c r="B40" s="45">
        <f t="shared" si="1"/>
        <v>0.60434956029652509</v>
      </c>
      <c r="C40" s="45">
        <f t="shared" si="2"/>
        <v>0.4368864217367831</v>
      </c>
      <c r="D40" s="45">
        <f t="shared" si="3"/>
        <v>0.74780000000000002</v>
      </c>
      <c r="E40" s="45">
        <f t="shared" si="4"/>
        <v>0.5823008260080399</v>
      </c>
      <c r="F40" s="45">
        <f t="shared" si="5"/>
        <v>0.83276082840931387</v>
      </c>
      <c r="G40" s="45">
        <f t="shared" si="6"/>
        <v>0.65655878405418788</v>
      </c>
      <c r="H40" s="45">
        <f t="shared" si="7"/>
        <v>0.85324615384615388</v>
      </c>
      <c r="I40" s="45">
        <f t="shared" si="0"/>
        <v>0.77557311856459732</v>
      </c>
      <c r="J40" s="45"/>
      <c r="K40" s="45">
        <f t="shared" si="8"/>
        <v>0.52961942000618867</v>
      </c>
      <c r="L40" s="45">
        <f t="shared" si="9"/>
        <v>0.31052341051368804</v>
      </c>
      <c r="M40" s="45">
        <f t="shared" si="10"/>
        <v>0.76176923076923075</v>
      </c>
      <c r="N40" s="45">
        <f t="shared" si="11"/>
        <v>0.50037302835605058</v>
      </c>
      <c r="O40" s="45">
        <f t="shared" si="12"/>
        <v>0.76930467544037318</v>
      </c>
      <c r="P40" s="45">
        <f t="shared" si="13"/>
        <v>0.68536740270127305</v>
      </c>
      <c r="Q40" s="45">
        <f t="shared" si="14"/>
        <v>0.86293846153846143</v>
      </c>
      <c r="R40" s="45">
        <f t="shared" si="15"/>
        <v>0.76913141004567509</v>
      </c>
      <c r="S40" s="45"/>
    </row>
    <row r="41" spans="1:19" x14ac:dyDescent="0.25">
      <c r="A41" s="45"/>
      <c r="B41" s="45">
        <f t="shared" si="1"/>
        <v>0.61468582596807153</v>
      </c>
      <c r="C41" s="45">
        <f t="shared" si="2"/>
        <v>0.44116439780062139</v>
      </c>
      <c r="D41" s="45">
        <f t="shared" si="3"/>
        <v>0.75226153846153854</v>
      </c>
      <c r="E41" s="45">
        <f t="shared" si="4"/>
        <v>0.58867307371145017</v>
      </c>
      <c r="F41" s="45">
        <f t="shared" si="5"/>
        <v>0.83728685338382236</v>
      </c>
      <c r="G41" s="45">
        <f t="shared" si="6"/>
        <v>0.66609421665906998</v>
      </c>
      <c r="H41" s="45">
        <f t="shared" si="7"/>
        <v>0.85613846153846151</v>
      </c>
      <c r="I41" s="45">
        <f t="shared" si="0"/>
        <v>0.78160017452723318</v>
      </c>
      <c r="J41" s="45"/>
      <c r="K41" s="45">
        <f t="shared" si="8"/>
        <v>0.52888967428421252</v>
      </c>
      <c r="L41" s="45">
        <f t="shared" si="9"/>
        <v>0.27619178628704499</v>
      </c>
      <c r="M41" s="45">
        <f t="shared" si="10"/>
        <v>0.76689230769230765</v>
      </c>
      <c r="N41" s="45">
        <f t="shared" si="11"/>
        <v>0.48206256754949467</v>
      </c>
      <c r="O41" s="45">
        <f t="shared" si="12"/>
        <v>0.77384308241738697</v>
      </c>
      <c r="P41" s="45">
        <f t="shared" si="13"/>
        <v>0.67800424750076504</v>
      </c>
      <c r="Q41" s="45">
        <f t="shared" si="14"/>
        <v>0.86773846153846168</v>
      </c>
      <c r="R41" s="45">
        <f t="shared" si="15"/>
        <v>0.76929230603400833</v>
      </c>
      <c r="S41" s="45"/>
    </row>
    <row r="42" spans="1:19" x14ac:dyDescent="0.25">
      <c r="A42" s="45"/>
      <c r="B42" s="45">
        <f t="shared" si="1"/>
        <v>0.62301064612812407</v>
      </c>
      <c r="C42" s="45">
        <f t="shared" si="2"/>
        <v>0.4486285738119376</v>
      </c>
      <c r="D42" s="45">
        <f t="shared" si="3"/>
        <v>0.75638461538461543</v>
      </c>
      <c r="E42" s="45">
        <f t="shared" si="4"/>
        <v>0.59571933398076038</v>
      </c>
      <c r="F42" s="45">
        <f t="shared" si="5"/>
        <v>0.84376800287840614</v>
      </c>
      <c r="G42" s="45">
        <f t="shared" si="6"/>
        <v>0.64471350793056015</v>
      </c>
      <c r="H42" s="45">
        <f t="shared" si="7"/>
        <v>0.85889230769230773</v>
      </c>
      <c r="I42" s="45">
        <f t="shared" si="0"/>
        <v>0.77596627247690464</v>
      </c>
      <c r="J42" s="45"/>
      <c r="K42" s="45">
        <f t="shared" si="8"/>
        <v>0.53984367238498299</v>
      </c>
      <c r="L42" s="45">
        <f t="shared" si="9"/>
        <v>0.27810985886645845</v>
      </c>
      <c r="M42" s="45">
        <f t="shared" si="10"/>
        <v>0.77183076923076921</v>
      </c>
      <c r="N42" s="45">
        <f t="shared" si="11"/>
        <v>0.48753091779338253</v>
      </c>
      <c r="O42" s="45">
        <f t="shared" si="12"/>
        <v>0.7795039978589946</v>
      </c>
      <c r="P42" s="45">
        <f t="shared" si="13"/>
        <v>0.68357979098528276</v>
      </c>
      <c r="Q42" s="45">
        <f t="shared" si="14"/>
        <v>0.87204615384615392</v>
      </c>
      <c r="R42" s="45">
        <f t="shared" si="15"/>
        <v>0.7745492022086542</v>
      </c>
      <c r="S42" s="45"/>
    </row>
    <row r="43" spans="1:19" x14ac:dyDescent="0.25">
      <c r="A43" s="45"/>
      <c r="B43" s="45">
        <f t="shared" si="1"/>
        <v>0.63089018226621929</v>
      </c>
      <c r="C43" s="45">
        <f t="shared" si="2"/>
        <v>0.45683116719287964</v>
      </c>
      <c r="D43" s="45">
        <f t="shared" si="3"/>
        <v>0.76024615384615379</v>
      </c>
      <c r="E43" s="45">
        <f t="shared" si="4"/>
        <v>0.60286662562511162</v>
      </c>
      <c r="F43" s="45">
        <f t="shared" si="5"/>
        <v>0.84886991572483139</v>
      </c>
      <c r="G43" s="45">
        <f t="shared" si="6"/>
        <v>0.6542432331088428</v>
      </c>
      <c r="H43" s="45">
        <f t="shared" si="7"/>
        <v>0.86149230769230767</v>
      </c>
      <c r="I43" s="45">
        <f t="shared" si="0"/>
        <v>0.78212697001195963</v>
      </c>
      <c r="J43" s="45"/>
      <c r="K43" s="45">
        <f t="shared" si="8"/>
        <v>0.54842977567042617</v>
      </c>
      <c r="L43" s="45">
        <f t="shared" si="9"/>
        <v>0.29031053143876967</v>
      </c>
      <c r="M43" s="45">
        <f t="shared" si="10"/>
        <v>0.77658461538461532</v>
      </c>
      <c r="N43" s="45">
        <f t="shared" si="11"/>
        <v>0.49818525155472321</v>
      </c>
      <c r="O43" s="45">
        <f t="shared" si="12"/>
        <v>0.7852754350951926</v>
      </c>
      <c r="P43" s="45">
        <f t="shared" si="13"/>
        <v>0.68462774090872081</v>
      </c>
      <c r="Q43" s="45">
        <f t="shared" si="14"/>
        <v>0.87586153846153847</v>
      </c>
      <c r="R43" s="45">
        <f t="shared" si="15"/>
        <v>0.77798397864995905</v>
      </c>
      <c r="S43" s="45"/>
    </row>
    <row r="44" spans="1:19" x14ac:dyDescent="0.25">
      <c r="A44" s="45"/>
      <c r="B44" s="45">
        <f t="shared" si="1"/>
        <v>0.63490296354764142</v>
      </c>
      <c r="C44" s="45">
        <f t="shared" si="2"/>
        <v>0.46154038660329288</v>
      </c>
      <c r="D44" s="45">
        <f t="shared" si="3"/>
        <v>0.76393846153846168</v>
      </c>
      <c r="E44" s="45">
        <f t="shared" si="4"/>
        <v>0.60719074949425733</v>
      </c>
      <c r="F44" s="45">
        <f t="shared" si="5"/>
        <v>0.85342404799244509</v>
      </c>
      <c r="G44" s="45">
        <f t="shared" si="6"/>
        <v>0.63950057771211466</v>
      </c>
      <c r="H44" s="45">
        <f t="shared" si="7"/>
        <v>0.86393846153846166</v>
      </c>
      <c r="I44" s="45">
        <f t="shared" si="0"/>
        <v>0.77832839629958495</v>
      </c>
      <c r="J44" s="45"/>
      <c r="K44" s="45">
        <f t="shared" si="8"/>
        <v>0.55543181105771444</v>
      </c>
      <c r="L44" s="45">
        <f t="shared" si="9"/>
        <v>0.30127553647962468</v>
      </c>
      <c r="M44" s="45">
        <f t="shared" si="10"/>
        <v>0.78120000000000012</v>
      </c>
      <c r="N44" s="45">
        <f t="shared" si="11"/>
        <v>0.50751897494025655</v>
      </c>
      <c r="O44" s="45">
        <f t="shared" si="12"/>
        <v>0.78806287985357182</v>
      </c>
      <c r="P44" s="45">
        <f t="shared" si="13"/>
        <v>0.68708175014972372</v>
      </c>
      <c r="Q44" s="45">
        <f t="shared" si="14"/>
        <v>0.87923076923076937</v>
      </c>
      <c r="R44" s="45">
        <f t="shared" si="15"/>
        <v>0.78083161223039421</v>
      </c>
      <c r="S44" s="45"/>
    </row>
    <row r="45" spans="1:19" x14ac:dyDescent="0.25">
      <c r="A45" s="45"/>
      <c r="B45" s="45">
        <f t="shared" si="1"/>
        <v>0.62310082590217231</v>
      </c>
      <c r="C45" s="45">
        <f t="shared" si="2"/>
        <v>0.47091497151880807</v>
      </c>
      <c r="D45" s="45">
        <f t="shared" si="3"/>
        <v>0.7674923076923077</v>
      </c>
      <c r="E45" s="45">
        <f t="shared" si="4"/>
        <v>0.60840338086499823</v>
      </c>
      <c r="F45" s="45">
        <f t="shared" si="5"/>
        <v>0.84268861805111694</v>
      </c>
      <c r="G45" s="45">
        <f t="shared" si="6"/>
        <v>0.63591290955032764</v>
      </c>
      <c r="H45" s="45">
        <f t="shared" si="7"/>
        <v>0.86624615384615378</v>
      </c>
      <c r="I45" s="45">
        <f t="shared" si="0"/>
        <v>0.7742871105333996</v>
      </c>
      <c r="J45" s="45"/>
      <c r="K45" s="45">
        <f t="shared" si="8"/>
        <v>0.5490463318433948</v>
      </c>
      <c r="L45" s="45">
        <f t="shared" si="9"/>
        <v>0.30319582882098006</v>
      </c>
      <c r="M45" s="45">
        <f t="shared" si="10"/>
        <v>0.78564615384615377</v>
      </c>
      <c r="N45" s="45">
        <f t="shared" si="11"/>
        <v>0.50759780466704152</v>
      </c>
      <c r="O45" s="45">
        <f t="shared" si="12"/>
        <v>0.77802388319276128</v>
      </c>
      <c r="P45" s="45">
        <f t="shared" si="13"/>
        <v>0.68775268192964334</v>
      </c>
      <c r="Q45" s="45">
        <f t="shared" si="14"/>
        <v>0.88221538461538451</v>
      </c>
      <c r="R45" s="45">
        <f t="shared" si="15"/>
        <v>0.77863385482874192</v>
      </c>
      <c r="S45" s="45"/>
    </row>
    <row r="46" spans="1:19" x14ac:dyDescent="0.25">
      <c r="A46" s="45"/>
      <c r="B46" s="45">
        <f>(LN(B23)-LN(100))/(LN(75000)-LN(100))</f>
        <v>0.63458613181540424</v>
      </c>
      <c r="C46" s="45">
        <f t="shared" si="2"/>
        <v>0.47091497151880807</v>
      </c>
      <c r="D46" s="45">
        <f t="shared" si="3"/>
        <v>0.7674923076923077</v>
      </c>
      <c r="E46" s="45">
        <f t="shared" si="4"/>
        <v>0.61211877725763153</v>
      </c>
      <c r="F46" s="45">
        <f t="shared" si="5"/>
        <v>0.84544556494586887</v>
      </c>
      <c r="G46" s="45">
        <f t="shared" si="6"/>
        <v>0.63591290955032764</v>
      </c>
      <c r="H46" s="45">
        <f t="shared" si="7"/>
        <v>0.86624615384615378</v>
      </c>
      <c r="I46" s="45">
        <f t="shared" si="0"/>
        <v>0.77513057935785001</v>
      </c>
      <c r="J46" s="45"/>
      <c r="K46" s="45">
        <f t="shared" si="8"/>
        <v>0.55256477225458789</v>
      </c>
      <c r="L46" s="45">
        <f t="shared" si="9"/>
        <v>0.30319582882098006</v>
      </c>
      <c r="M46" s="45">
        <f t="shared" si="10"/>
        <v>0.78564615384615377</v>
      </c>
      <c r="N46" s="45">
        <f t="shared" si="11"/>
        <v>0.50867977236885387</v>
      </c>
      <c r="O46" s="45">
        <f t="shared" si="12"/>
        <v>0.78004538396519241</v>
      </c>
      <c r="P46" s="45">
        <f t="shared" si="13"/>
        <v>0.68775268192964334</v>
      </c>
      <c r="Q46" s="45">
        <f t="shared" si="14"/>
        <v>0.88221538461538451</v>
      </c>
      <c r="R46" s="45">
        <f t="shared" si="15"/>
        <v>0.77930763349383936</v>
      </c>
      <c r="S46" s="45"/>
    </row>
    <row r="47" spans="1:19" x14ac:dyDescent="0.2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</row>
    <row r="48" spans="1:19" x14ac:dyDescent="0.2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</row>
    <row r="49" spans="1:19" x14ac:dyDescent="0.25">
      <c r="A49" s="45"/>
      <c r="B49" s="63" t="s">
        <v>42</v>
      </c>
      <c r="C49" s="63"/>
      <c r="D49" s="63"/>
      <c r="E49" s="63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</row>
    <row r="50" spans="1:19" x14ac:dyDescent="0.25">
      <c r="A50" t="s">
        <v>52</v>
      </c>
      <c r="B50" t="s">
        <v>53</v>
      </c>
      <c r="C50" t="s">
        <v>54</v>
      </c>
      <c r="D50" t="s">
        <v>55</v>
      </c>
      <c r="E50" t="s">
        <v>56</v>
      </c>
    </row>
    <row r="51" spans="1:19" x14ac:dyDescent="0.25">
      <c r="A51" s="48">
        <v>2001</v>
      </c>
      <c r="B51" s="45">
        <f>E26</f>
        <v>0.43005082215079565</v>
      </c>
      <c r="C51">
        <f>I26</f>
        <v>0.66860025605018969</v>
      </c>
      <c r="D51">
        <f>N26</f>
        <v>0.35614809756979293</v>
      </c>
      <c r="E51">
        <f>R26</f>
        <v>0.690003411114402</v>
      </c>
    </row>
    <row r="52" spans="1:19" x14ac:dyDescent="0.25">
      <c r="A52" s="48">
        <v>2002</v>
      </c>
      <c r="B52" s="45">
        <f t="shared" ref="B52:B71" si="16">E27</f>
        <v>0.43601447585577308</v>
      </c>
      <c r="C52">
        <f t="shared" ref="C52:C71" si="17">I27</f>
        <v>0.68138395129517659</v>
      </c>
      <c r="D52">
        <f t="shared" ref="D52:D71" si="18">N27</f>
        <v>0.36707777048467294</v>
      </c>
      <c r="E52">
        <f t="shared" ref="E52:E71" si="19">R27</f>
        <v>0.69644199091437453</v>
      </c>
    </row>
    <row r="53" spans="1:19" x14ac:dyDescent="0.25">
      <c r="A53" s="48">
        <v>2003</v>
      </c>
      <c r="B53" s="45">
        <f t="shared" si="16"/>
        <v>0.44339963307137376</v>
      </c>
      <c r="C53">
        <f t="shared" si="17"/>
        <v>0.69642837899900967</v>
      </c>
      <c r="D53">
        <f t="shared" si="18"/>
        <v>0.37182368487668177</v>
      </c>
      <c r="E53">
        <f t="shared" si="19"/>
        <v>0.70375461470802803</v>
      </c>
    </row>
    <row r="54" spans="1:19" x14ac:dyDescent="0.25">
      <c r="A54" s="48">
        <v>2004</v>
      </c>
      <c r="B54" s="45">
        <f t="shared" si="16"/>
        <v>0.4496277144319783</v>
      </c>
      <c r="C54">
        <f t="shared" si="17"/>
        <v>0.69715816561573141</v>
      </c>
      <c r="D54">
        <f t="shared" si="18"/>
        <v>0.38584799344076082</v>
      </c>
      <c r="E54">
        <f t="shared" si="19"/>
        <v>0.70991879347698006</v>
      </c>
    </row>
    <row r="55" spans="1:19" x14ac:dyDescent="0.25">
      <c r="A55" s="48">
        <v>2005</v>
      </c>
      <c r="B55" s="45">
        <f t="shared" si="16"/>
        <v>0.45243285056532023</v>
      </c>
      <c r="C55">
        <f t="shared" si="17"/>
        <v>0.69097772705637273</v>
      </c>
      <c r="D55">
        <f t="shared" si="18"/>
        <v>0.4050049082956152</v>
      </c>
      <c r="E55">
        <f t="shared" si="19"/>
        <v>0.72188485637487287</v>
      </c>
    </row>
    <row r="56" spans="1:19" x14ac:dyDescent="0.25">
      <c r="A56" s="48">
        <v>2006</v>
      </c>
      <c r="B56" s="45">
        <f t="shared" si="16"/>
        <v>0.46301638649453819</v>
      </c>
      <c r="C56">
        <f t="shared" si="17"/>
        <v>0.6953488627948553</v>
      </c>
      <c r="D56">
        <f t="shared" si="18"/>
        <v>0.41313355887375153</v>
      </c>
      <c r="E56">
        <f t="shared" si="19"/>
        <v>0.72673869173530281</v>
      </c>
    </row>
    <row r="57" spans="1:19" x14ac:dyDescent="0.25">
      <c r="A57" s="48">
        <v>2007</v>
      </c>
      <c r="B57" s="45">
        <f t="shared" si="16"/>
        <v>0.47889133498171405</v>
      </c>
      <c r="C57">
        <f t="shared" si="17"/>
        <v>0.70438299247658887</v>
      </c>
      <c r="D57">
        <f t="shared" si="18"/>
        <v>0.432385956249632</v>
      </c>
      <c r="E57">
        <f t="shared" si="19"/>
        <v>0.74205167394156524</v>
      </c>
    </row>
    <row r="58" spans="1:19" x14ac:dyDescent="0.25">
      <c r="A58" s="48">
        <v>2008</v>
      </c>
      <c r="B58" s="45">
        <f t="shared" si="16"/>
        <v>0.49341242913723427</v>
      </c>
      <c r="C58">
        <f t="shared" si="17"/>
        <v>0.71932197381088003</v>
      </c>
      <c r="D58">
        <f t="shared" si="18"/>
        <v>0.44470703900579267</v>
      </c>
      <c r="E58">
        <f t="shared" si="19"/>
        <v>0.74339204668169112</v>
      </c>
    </row>
    <row r="59" spans="1:19" x14ac:dyDescent="0.25">
      <c r="A59" s="48">
        <v>2009</v>
      </c>
      <c r="B59" s="45">
        <f t="shared" si="16"/>
        <v>0.50566930860167636</v>
      </c>
      <c r="C59">
        <f t="shared" si="17"/>
        <v>0.72581400168200205</v>
      </c>
      <c r="D59">
        <f t="shared" si="18"/>
        <v>0.44882139505502672</v>
      </c>
      <c r="E59">
        <f t="shared" si="19"/>
        <v>0.74719350481665792</v>
      </c>
    </row>
    <row r="60" spans="1:19" x14ac:dyDescent="0.25">
      <c r="A60" s="48">
        <v>2010</v>
      </c>
      <c r="B60" s="45">
        <f t="shared" si="16"/>
        <v>0.52148587453473705</v>
      </c>
      <c r="C60">
        <f t="shared" si="17"/>
        <v>0.73431844566281756</v>
      </c>
      <c r="D60">
        <f t="shared" si="18"/>
        <v>0.47075929239916042</v>
      </c>
      <c r="E60">
        <f t="shared" si="19"/>
        <v>0.75837017191640232</v>
      </c>
    </row>
    <row r="61" spans="1:19" x14ac:dyDescent="0.25">
      <c r="A61" s="48">
        <v>2011</v>
      </c>
      <c r="B61" s="45">
        <f t="shared" si="16"/>
        <v>0.54806507980037256</v>
      </c>
      <c r="C61">
        <f t="shared" si="17"/>
        <v>0.73400513131933542</v>
      </c>
      <c r="D61">
        <f t="shared" si="18"/>
        <v>0.47771053814793962</v>
      </c>
      <c r="E61">
        <f t="shared" si="19"/>
        <v>0.76378767222277544</v>
      </c>
    </row>
    <row r="62" spans="1:19" x14ac:dyDescent="0.25">
      <c r="A62" s="48">
        <v>2012</v>
      </c>
      <c r="B62" s="45">
        <f t="shared" si="16"/>
        <v>0.55781677539677332</v>
      </c>
      <c r="C62">
        <f t="shared" si="17"/>
        <v>0.74197018076613241</v>
      </c>
      <c r="D62">
        <f t="shared" si="18"/>
        <v>0.49353778331789011</v>
      </c>
      <c r="E62">
        <f t="shared" si="19"/>
        <v>0.76477951058032356</v>
      </c>
    </row>
    <row r="63" spans="1:19" x14ac:dyDescent="0.25">
      <c r="A63" s="48">
        <v>2013</v>
      </c>
      <c r="B63" s="45">
        <f t="shared" si="16"/>
        <v>0.56087470319624566</v>
      </c>
      <c r="C63">
        <f t="shared" si="17"/>
        <v>0.74957348270770718</v>
      </c>
      <c r="D63">
        <f t="shared" si="18"/>
        <v>0.50225988419801204</v>
      </c>
      <c r="E63">
        <f t="shared" si="19"/>
        <v>0.7635302457747758</v>
      </c>
    </row>
    <row r="64" spans="1:19" x14ac:dyDescent="0.25">
      <c r="A64" s="48">
        <v>2014</v>
      </c>
      <c r="B64" s="45">
        <f t="shared" si="16"/>
        <v>0.57237927639829767</v>
      </c>
      <c r="C64">
        <f t="shared" si="17"/>
        <v>0.75416563645795842</v>
      </c>
      <c r="D64">
        <f t="shared" si="18"/>
        <v>0.50149893392288614</v>
      </c>
      <c r="E64">
        <f t="shared" si="19"/>
        <v>0.76551264814044151</v>
      </c>
    </row>
    <row r="65" spans="1:5" x14ac:dyDescent="0.25">
      <c r="A65" s="48">
        <v>2015</v>
      </c>
      <c r="B65" s="45">
        <f t="shared" si="16"/>
        <v>0.5823008260080399</v>
      </c>
      <c r="C65">
        <f t="shared" si="17"/>
        <v>0.77557311856459732</v>
      </c>
      <c r="D65">
        <f t="shared" si="18"/>
        <v>0.50037302835605058</v>
      </c>
      <c r="E65">
        <f t="shared" si="19"/>
        <v>0.76913141004567509</v>
      </c>
    </row>
    <row r="66" spans="1:5" x14ac:dyDescent="0.25">
      <c r="A66" s="48">
        <v>2016</v>
      </c>
      <c r="B66" s="45">
        <f t="shared" si="16"/>
        <v>0.58867307371145017</v>
      </c>
      <c r="C66">
        <f t="shared" si="17"/>
        <v>0.78160017452723318</v>
      </c>
      <c r="D66">
        <f t="shared" si="18"/>
        <v>0.48206256754949467</v>
      </c>
      <c r="E66">
        <f t="shared" si="19"/>
        <v>0.76929230603400833</v>
      </c>
    </row>
    <row r="67" spans="1:5" x14ac:dyDescent="0.25">
      <c r="A67" s="48">
        <v>2017</v>
      </c>
      <c r="B67" s="45">
        <f t="shared" si="16"/>
        <v>0.59571933398076038</v>
      </c>
      <c r="C67">
        <f t="shared" si="17"/>
        <v>0.77596627247690464</v>
      </c>
      <c r="D67">
        <f t="shared" si="18"/>
        <v>0.48753091779338253</v>
      </c>
      <c r="E67">
        <f t="shared" si="19"/>
        <v>0.7745492022086542</v>
      </c>
    </row>
    <row r="68" spans="1:5" x14ac:dyDescent="0.25">
      <c r="A68" s="48">
        <v>2018</v>
      </c>
      <c r="B68" s="45">
        <f t="shared" si="16"/>
        <v>0.60286662562511162</v>
      </c>
      <c r="C68">
        <f t="shared" si="17"/>
        <v>0.78212697001195963</v>
      </c>
      <c r="D68">
        <f t="shared" si="18"/>
        <v>0.49818525155472321</v>
      </c>
      <c r="E68">
        <f t="shared" si="19"/>
        <v>0.77798397864995905</v>
      </c>
    </row>
    <row r="69" spans="1:5" x14ac:dyDescent="0.25">
      <c r="A69" s="48">
        <v>2019</v>
      </c>
      <c r="B69" s="45">
        <f t="shared" si="16"/>
        <v>0.60719074949425733</v>
      </c>
      <c r="C69">
        <f t="shared" si="17"/>
        <v>0.77832839629958495</v>
      </c>
      <c r="D69">
        <f t="shared" si="18"/>
        <v>0.50751897494025655</v>
      </c>
      <c r="E69">
        <f t="shared" si="19"/>
        <v>0.78083161223039421</v>
      </c>
    </row>
    <row r="70" spans="1:5" x14ac:dyDescent="0.25">
      <c r="A70" s="48">
        <v>2020</v>
      </c>
      <c r="B70" s="45">
        <f t="shared" si="16"/>
        <v>0.60840338086499823</v>
      </c>
      <c r="C70">
        <f t="shared" si="17"/>
        <v>0.7742871105333996</v>
      </c>
      <c r="D70">
        <f t="shared" si="18"/>
        <v>0.50759780466704152</v>
      </c>
      <c r="E70">
        <f t="shared" si="19"/>
        <v>0.77863385482874192</v>
      </c>
    </row>
    <row r="71" spans="1:5" x14ac:dyDescent="0.25">
      <c r="A71" s="48">
        <v>2021</v>
      </c>
      <c r="B71" s="45">
        <f t="shared" si="16"/>
        <v>0.61211877725763153</v>
      </c>
      <c r="C71">
        <f t="shared" si="17"/>
        <v>0.77513057935785001</v>
      </c>
      <c r="D71">
        <f t="shared" si="18"/>
        <v>0.50867977236885387</v>
      </c>
      <c r="E71">
        <f t="shared" si="19"/>
        <v>0.77930763349383936</v>
      </c>
    </row>
  </sheetData>
  <mergeCells count="5">
    <mergeCell ref="B1:E1"/>
    <mergeCell ref="F1:I1"/>
    <mergeCell ref="K1:N1"/>
    <mergeCell ref="O1:R1"/>
    <mergeCell ref="B49:E4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opLeftCell="A77" workbookViewId="0">
      <selection activeCell="H96" sqref="H96"/>
    </sheetView>
  </sheetViews>
  <sheetFormatPr defaultRowHeight="15" x14ac:dyDescent="0.25"/>
  <cols>
    <col min="2" max="2" width="12.7109375" customWidth="1"/>
  </cols>
  <sheetData>
    <row r="1" spans="1:5" ht="60" x14ac:dyDescent="0.25">
      <c r="A1" s="49" t="s">
        <v>0</v>
      </c>
      <c r="B1" s="50" t="s">
        <v>65</v>
      </c>
      <c r="C1" s="50"/>
      <c r="D1" s="51" t="s">
        <v>66</v>
      </c>
    </row>
    <row r="2" spans="1:5" x14ac:dyDescent="0.25">
      <c r="A2" s="1" t="s">
        <v>67</v>
      </c>
      <c r="B2" s="52">
        <v>0.95099999999999996</v>
      </c>
      <c r="C2" s="52" t="s">
        <v>68</v>
      </c>
      <c r="D2" s="2">
        <v>34.299999999999997</v>
      </c>
      <c r="E2">
        <v>4</v>
      </c>
    </row>
    <row r="3" spans="1:5" x14ac:dyDescent="0.25">
      <c r="A3" s="1" t="s">
        <v>69</v>
      </c>
      <c r="B3" s="52">
        <v>0.94799999999999995</v>
      </c>
      <c r="C3" s="52" t="s">
        <v>68</v>
      </c>
      <c r="D3" s="2">
        <v>27.7</v>
      </c>
      <c r="E3">
        <v>4</v>
      </c>
    </row>
    <row r="4" spans="1:5" x14ac:dyDescent="0.25">
      <c r="A4" s="1" t="s">
        <v>70</v>
      </c>
      <c r="B4" s="52">
        <v>0.94699999999999995</v>
      </c>
      <c r="C4" s="52" t="s">
        <v>68</v>
      </c>
      <c r="D4" s="2">
        <v>29.3</v>
      </c>
      <c r="E4">
        <v>4</v>
      </c>
    </row>
    <row r="5" spans="1:5" x14ac:dyDescent="0.25">
      <c r="A5" s="1" t="s">
        <v>71</v>
      </c>
      <c r="B5" s="52">
        <v>0.94499999999999995</v>
      </c>
      <c r="C5" s="52" t="s">
        <v>68</v>
      </c>
      <c r="D5" s="2">
        <v>30.6</v>
      </c>
      <c r="E5">
        <v>4</v>
      </c>
    </row>
    <row r="6" spans="1:5" x14ac:dyDescent="0.25">
      <c r="A6" s="1" t="s">
        <v>72</v>
      </c>
      <c r="B6" s="52">
        <v>0.94199999999999995</v>
      </c>
      <c r="C6" s="52" t="s">
        <v>68</v>
      </c>
      <c r="D6" s="2">
        <v>31.7</v>
      </c>
      <c r="E6">
        <v>4</v>
      </c>
    </row>
    <row r="7" spans="1:5" x14ac:dyDescent="0.25">
      <c r="A7" s="1" t="s">
        <v>73</v>
      </c>
      <c r="B7" s="52">
        <v>0.94099999999999995</v>
      </c>
      <c r="C7" s="52" t="s">
        <v>68</v>
      </c>
      <c r="D7" s="2">
        <v>29.2</v>
      </c>
      <c r="E7">
        <v>4</v>
      </c>
    </row>
    <row r="8" spans="1:5" x14ac:dyDescent="0.25">
      <c r="A8" s="1" t="s">
        <v>74</v>
      </c>
      <c r="B8" s="52">
        <v>0.94</v>
      </c>
      <c r="C8" s="52" t="s">
        <v>68</v>
      </c>
      <c r="D8" s="2">
        <v>27.7</v>
      </c>
      <c r="E8">
        <v>4</v>
      </c>
    </row>
    <row r="9" spans="1:5" x14ac:dyDescent="0.25">
      <c r="A9" s="1" t="s">
        <v>75</v>
      </c>
      <c r="B9" s="52">
        <v>0.92100000000000004</v>
      </c>
      <c r="C9" s="52" t="s">
        <v>68</v>
      </c>
      <c r="D9" s="2">
        <v>41.5</v>
      </c>
      <c r="E9">
        <v>4</v>
      </c>
    </row>
    <row r="10" spans="1:5" x14ac:dyDescent="0.25">
      <c r="A10" s="1" t="s">
        <v>76</v>
      </c>
      <c r="B10" s="52">
        <v>0.91900000000000004</v>
      </c>
      <c r="C10" s="52" t="s">
        <v>68</v>
      </c>
      <c r="D10" s="2">
        <v>38.6</v>
      </c>
      <c r="E10">
        <v>4</v>
      </c>
    </row>
    <row r="11" spans="1:5" x14ac:dyDescent="0.25">
      <c r="A11" s="1" t="s">
        <v>77</v>
      </c>
      <c r="B11" s="52">
        <v>0.91800000000000004</v>
      </c>
      <c r="C11" s="52" t="s">
        <v>68</v>
      </c>
      <c r="D11" s="2">
        <v>31</v>
      </c>
      <c r="E11">
        <v>4</v>
      </c>
    </row>
    <row r="12" spans="1:5" x14ac:dyDescent="0.25">
      <c r="A12" s="1" t="s">
        <v>78</v>
      </c>
      <c r="B12" s="52">
        <v>0.91800000000000004</v>
      </c>
      <c r="C12" s="52" t="s">
        <v>68</v>
      </c>
      <c r="D12" s="2">
        <v>24.4</v>
      </c>
      <c r="E12">
        <v>4</v>
      </c>
    </row>
    <row r="13" spans="1:5" x14ac:dyDescent="0.25">
      <c r="A13" s="1" t="s">
        <v>1</v>
      </c>
      <c r="B13" s="52">
        <v>0.91600000000000004</v>
      </c>
      <c r="C13" s="52" t="s">
        <v>68</v>
      </c>
      <c r="D13" s="2">
        <v>30.2</v>
      </c>
      <c r="E13">
        <v>4</v>
      </c>
    </row>
    <row r="14" spans="1:5" x14ac:dyDescent="0.25">
      <c r="A14" s="1" t="s">
        <v>2</v>
      </c>
      <c r="B14" s="52">
        <v>0.91100000000000003</v>
      </c>
      <c r="C14" s="52" t="s">
        <v>68</v>
      </c>
      <c r="D14" s="2">
        <v>26</v>
      </c>
      <c r="E14">
        <v>4</v>
      </c>
    </row>
    <row r="15" spans="1:5" x14ac:dyDescent="0.25">
      <c r="A15" s="1" t="s">
        <v>79</v>
      </c>
      <c r="B15" s="52">
        <v>0.90500000000000003</v>
      </c>
      <c r="C15" s="52" t="s">
        <v>68</v>
      </c>
      <c r="D15" s="2">
        <v>34.299999999999997</v>
      </c>
      <c r="E15">
        <v>4</v>
      </c>
    </row>
    <row r="16" spans="1:5" x14ac:dyDescent="0.25">
      <c r="A16" s="1" t="s">
        <v>80</v>
      </c>
      <c r="B16" s="52">
        <v>0.90300000000000002</v>
      </c>
      <c r="C16" s="52" t="s">
        <v>68</v>
      </c>
      <c r="D16" s="2">
        <v>32.4</v>
      </c>
      <c r="E16">
        <v>4</v>
      </c>
    </row>
    <row r="17" spans="1:5" x14ac:dyDescent="0.25">
      <c r="A17" s="1" t="s">
        <v>81</v>
      </c>
      <c r="B17" s="52">
        <v>0.85799999999999998</v>
      </c>
      <c r="C17" s="52" t="s">
        <v>68</v>
      </c>
      <c r="D17" s="2">
        <v>28.9</v>
      </c>
      <c r="E17">
        <v>4</v>
      </c>
    </row>
    <row r="18" spans="1:5" x14ac:dyDescent="0.25">
      <c r="A18" s="1" t="s">
        <v>8</v>
      </c>
      <c r="B18" s="52">
        <v>0.85499999999999998</v>
      </c>
      <c r="C18" s="52" t="s">
        <v>68</v>
      </c>
      <c r="D18" s="2">
        <v>44.9</v>
      </c>
      <c r="E18">
        <v>4</v>
      </c>
    </row>
    <row r="19" spans="1:5" x14ac:dyDescent="0.25">
      <c r="A19" s="1" t="s">
        <v>10</v>
      </c>
      <c r="B19" s="52">
        <v>0.84799999999999998</v>
      </c>
      <c r="C19" s="52" t="s">
        <v>68</v>
      </c>
      <c r="D19" s="2">
        <v>23.2</v>
      </c>
      <c r="E19">
        <v>4</v>
      </c>
    </row>
    <row r="20" spans="1:5" x14ac:dyDescent="0.25">
      <c r="A20" s="1" t="s">
        <v>11</v>
      </c>
      <c r="B20" s="52">
        <v>0.84599999999999997</v>
      </c>
      <c r="C20" s="52" t="s">
        <v>68</v>
      </c>
      <c r="D20" s="2">
        <v>30</v>
      </c>
      <c r="E20">
        <v>4</v>
      </c>
    </row>
    <row r="21" spans="1:5" x14ac:dyDescent="0.25">
      <c r="A21" s="1" t="s">
        <v>82</v>
      </c>
      <c r="B21" s="52">
        <v>0.84199999999999997</v>
      </c>
      <c r="C21" s="52" t="s">
        <v>68</v>
      </c>
      <c r="D21" s="2">
        <v>42.3</v>
      </c>
      <c r="E21">
        <v>4</v>
      </c>
    </row>
    <row r="22" spans="1:5" x14ac:dyDescent="0.25">
      <c r="A22" s="1" t="s">
        <v>83</v>
      </c>
      <c r="B22" s="52">
        <v>0.83799999999999997</v>
      </c>
      <c r="C22" s="52" t="s">
        <v>68</v>
      </c>
      <c r="D22" s="2">
        <v>41.9</v>
      </c>
      <c r="E22">
        <v>4</v>
      </c>
    </row>
    <row r="23" spans="1:5" x14ac:dyDescent="0.25">
      <c r="A23" s="1" t="s">
        <v>84</v>
      </c>
      <c r="B23" s="52">
        <v>0.83199999999999996</v>
      </c>
      <c r="C23" s="52" t="s">
        <v>68</v>
      </c>
      <c r="D23" s="2">
        <v>36.799999999999997</v>
      </c>
      <c r="E23">
        <v>4</v>
      </c>
    </row>
    <row r="24" spans="1:5" x14ac:dyDescent="0.25">
      <c r="A24" s="1" t="s">
        <v>85</v>
      </c>
      <c r="B24" s="52">
        <v>0.82199999999999995</v>
      </c>
      <c r="C24" s="52" t="s">
        <v>68</v>
      </c>
      <c r="D24" s="2">
        <v>36</v>
      </c>
      <c r="E24">
        <v>4</v>
      </c>
    </row>
    <row r="25" spans="1:5" x14ac:dyDescent="0.25">
      <c r="A25" s="1" t="s">
        <v>12</v>
      </c>
      <c r="B25" s="52">
        <v>0.82099999999999995</v>
      </c>
      <c r="C25" s="52" t="s">
        <v>68</v>
      </c>
      <c r="D25" s="2">
        <v>34.799999999999997</v>
      </c>
      <c r="E25">
        <v>4</v>
      </c>
    </row>
    <row r="26" spans="1:5" x14ac:dyDescent="0.25">
      <c r="A26" s="1" t="s">
        <v>86</v>
      </c>
      <c r="B26" s="52">
        <v>0.81100000000000005</v>
      </c>
      <c r="C26" s="52" t="s">
        <v>68</v>
      </c>
      <c r="D26" s="2">
        <v>27.8</v>
      </c>
      <c r="E26">
        <v>4</v>
      </c>
    </row>
    <row r="27" spans="1:5" x14ac:dyDescent="0.25">
      <c r="A27" s="1" t="s">
        <v>87</v>
      </c>
      <c r="B27" s="52">
        <v>0.80900000000000005</v>
      </c>
      <c r="C27" s="52" t="s">
        <v>68</v>
      </c>
      <c r="D27" s="2">
        <v>49.3</v>
      </c>
      <c r="E27">
        <v>4</v>
      </c>
    </row>
    <row r="28" spans="1:5" x14ac:dyDescent="0.25">
      <c r="A28" s="1" t="s">
        <v>88</v>
      </c>
      <c r="B28" s="52">
        <v>0.80900000000000005</v>
      </c>
      <c r="C28" s="52" t="s">
        <v>68</v>
      </c>
      <c r="D28" s="2">
        <v>40.200000000000003</v>
      </c>
      <c r="E28">
        <v>4</v>
      </c>
    </row>
    <row r="29" spans="1:5" x14ac:dyDescent="0.25">
      <c r="A29" s="1" t="s">
        <v>89</v>
      </c>
      <c r="B29" s="52">
        <v>0.80800000000000005</v>
      </c>
      <c r="C29" s="52" t="s">
        <v>68</v>
      </c>
      <c r="D29" s="2">
        <v>24.4</v>
      </c>
      <c r="E29">
        <v>4</v>
      </c>
    </row>
    <row r="30" spans="1:5" x14ac:dyDescent="0.25">
      <c r="A30" s="1" t="s">
        <v>54</v>
      </c>
      <c r="B30" s="52">
        <v>0.80300000000000005</v>
      </c>
      <c r="C30" s="52" t="s">
        <v>68</v>
      </c>
      <c r="D30" s="2">
        <v>41.1</v>
      </c>
      <c r="E30">
        <v>4</v>
      </c>
    </row>
    <row r="31" spans="1:5" x14ac:dyDescent="0.25">
      <c r="A31" s="1" t="s">
        <v>90</v>
      </c>
      <c r="B31" s="52">
        <v>0.80200000000000005</v>
      </c>
      <c r="C31" s="52" t="s">
        <v>68</v>
      </c>
      <c r="D31" s="2">
        <v>34.5</v>
      </c>
      <c r="E31">
        <v>4</v>
      </c>
    </row>
    <row r="32" spans="1:5" x14ac:dyDescent="0.25">
      <c r="A32" s="1" t="s">
        <v>91</v>
      </c>
      <c r="B32" s="52">
        <v>0.80200000000000005</v>
      </c>
      <c r="C32" s="52" t="s">
        <v>68</v>
      </c>
      <c r="D32" s="2">
        <v>36.799999999999997</v>
      </c>
      <c r="E32">
        <v>4</v>
      </c>
    </row>
    <row r="33" spans="1:5" x14ac:dyDescent="0.25">
      <c r="A33" s="1" t="s">
        <v>92</v>
      </c>
      <c r="B33" s="52">
        <v>0.80200000000000005</v>
      </c>
      <c r="C33" s="52" t="s">
        <v>68</v>
      </c>
      <c r="D33" s="2">
        <v>34.5</v>
      </c>
      <c r="E33">
        <v>4</v>
      </c>
    </row>
    <row r="34" spans="1:5" x14ac:dyDescent="0.25">
      <c r="A34" s="1" t="s">
        <v>56</v>
      </c>
      <c r="B34" s="52">
        <v>0.8</v>
      </c>
      <c r="C34" s="52" t="s">
        <v>68</v>
      </c>
      <c r="D34" s="2">
        <v>35</v>
      </c>
      <c r="E34">
        <v>4</v>
      </c>
    </row>
    <row r="35" spans="1:5" x14ac:dyDescent="0.25">
      <c r="A35" s="1" t="s">
        <v>93</v>
      </c>
      <c r="B35" s="52">
        <v>0.78200000000000003</v>
      </c>
      <c r="C35" s="52" t="s">
        <v>94</v>
      </c>
      <c r="D35" s="2">
        <v>39.299999999999997</v>
      </c>
      <c r="E35">
        <v>3</v>
      </c>
    </row>
    <row r="36" spans="1:5" x14ac:dyDescent="0.25">
      <c r="A36" s="1" t="s">
        <v>95</v>
      </c>
      <c r="B36" s="52">
        <v>0.78</v>
      </c>
      <c r="C36" s="52" t="s">
        <v>94</v>
      </c>
      <c r="D36" s="2">
        <v>33</v>
      </c>
      <c r="E36">
        <v>3</v>
      </c>
    </row>
    <row r="37" spans="1:5" x14ac:dyDescent="0.25">
      <c r="A37" s="1" t="s">
        <v>96</v>
      </c>
      <c r="B37" s="52">
        <v>0.77400000000000002</v>
      </c>
      <c r="C37" s="52" t="s">
        <v>94</v>
      </c>
      <c r="D37" s="2">
        <v>40.9</v>
      </c>
      <c r="E37">
        <v>3</v>
      </c>
    </row>
    <row r="38" spans="1:5" x14ac:dyDescent="0.25">
      <c r="A38" s="1" t="s">
        <v>97</v>
      </c>
      <c r="B38" s="52">
        <v>0.77300000000000002</v>
      </c>
      <c r="C38" s="52" t="s">
        <v>94</v>
      </c>
      <c r="D38" s="2">
        <v>25.6</v>
      </c>
      <c r="E38">
        <v>3</v>
      </c>
    </row>
    <row r="39" spans="1:5" x14ac:dyDescent="0.25">
      <c r="A39" s="1" t="s">
        <v>98</v>
      </c>
      <c r="B39" s="52">
        <v>0.77</v>
      </c>
      <c r="C39" s="52" t="s">
        <v>94</v>
      </c>
      <c r="D39" s="2">
        <v>33</v>
      </c>
      <c r="E39">
        <v>3</v>
      </c>
    </row>
    <row r="40" spans="1:5" x14ac:dyDescent="0.25">
      <c r="A40" s="1" t="s">
        <v>15</v>
      </c>
      <c r="B40" s="52">
        <v>0.76800000000000002</v>
      </c>
      <c r="C40" s="52" t="s">
        <v>94</v>
      </c>
      <c r="D40" s="2">
        <v>38.200000000000003</v>
      </c>
      <c r="E40">
        <v>3</v>
      </c>
    </row>
    <row r="41" spans="1:5" x14ac:dyDescent="0.25">
      <c r="A41" s="1" t="s">
        <v>99</v>
      </c>
      <c r="B41" s="52">
        <v>0.752</v>
      </c>
      <c r="C41" s="52" t="s">
        <v>94</v>
      </c>
      <c r="D41" s="2">
        <v>54.2</v>
      </c>
      <c r="E41">
        <v>3</v>
      </c>
    </row>
    <row r="42" spans="1:5" x14ac:dyDescent="0.25">
      <c r="A42" s="1" t="s">
        <v>20</v>
      </c>
      <c r="B42" s="52">
        <v>0.747</v>
      </c>
      <c r="C42" s="52" t="s">
        <v>94</v>
      </c>
      <c r="D42" s="2">
        <v>29.3</v>
      </c>
      <c r="E42">
        <v>3</v>
      </c>
    </row>
    <row r="43" spans="1:5" x14ac:dyDescent="0.25">
      <c r="A43" s="1" t="s">
        <v>100</v>
      </c>
      <c r="B43" s="52">
        <v>0.745</v>
      </c>
      <c r="C43" s="52" t="s">
        <v>94</v>
      </c>
      <c r="D43" s="2">
        <v>27.6</v>
      </c>
      <c r="E43">
        <v>3</v>
      </c>
    </row>
    <row r="44" spans="1:5" x14ac:dyDescent="0.25">
      <c r="A44" s="1" t="s">
        <v>101</v>
      </c>
      <c r="B44" s="52">
        <v>0.745</v>
      </c>
      <c r="C44" s="52" t="s">
        <v>94</v>
      </c>
      <c r="D44" s="2">
        <v>37.6</v>
      </c>
      <c r="E44">
        <v>3</v>
      </c>
    </row>
    <row r="45" spans="1:5" x14ac:dyDescent="0.25">
      <c r="A45" s="1" t="s">
        <v>102</v>
      </c>
      <c r="B45" s="52">
        <v>0.74</v>
      </c>
      <c r="C45" s="52" t="s">
        <v>94</v>
      </c>
      <c r="D45" s="2">
        <v>47.3</v>
      </c>
      <c r="E45">
        <v>3</v>
      </c>
    </row>
    <row r="46" spans="1:5" x14ac:dyDescent="0.25">
      <c r="A46" s="1" t="s">
        <v>103</v>
      </c>
      <c r="B46" s="52">
        <v>0.73899999999999999</v>
      </c>
      <c r="C46" s="52" t="s">
        <v>94</v>
      </c>
      <c r="D46" s="2">
        <v>32.700000000000003</v>
      </c>
      <c r="E46">
        <v>3</v>
      </c>
    </row>
    <row r="47" spans="1:5" x14ac:dyDescent="0.25">
      <c r="A47" s="1" t="s">
        <v>104</v>
      </c>
      <c r="B47" s="52">
        <v>0.73099999999999998</v>
      </c>
      <c r="C47" s="52" t="s">
        <v>94</v>
      </c>
      <c r="D47" s="2">
        <v>31.5</v>
      </c>
      <c r="E47">
        <v>3</v>
      </c>
    </row>
    <row r="48" spans="1:5" x14ac:dyDescent="0.25">
      <c r="A48" s="1" t="s">
        <v>105</v>
      </c>
      <c r="B48" s="52">
        <v>0.73099999999999998</v>
      </c>
      <c r="C48" s="52" t="s">
        <v>94</v>
      </c>
      <c r="D48" s="2">
        <v>32.799999999999997</v>
      </c>
      <c r="E48">
        <v>3</v>
      </c>
    </row>
    <row r="49" spans="1:5" x14ac:dyDescent="0.25">
      <c r="A49" s="1" t="s">
        <v>106</v>
      </c>
      <c r="B49" s="52">
        <v>0.72</v>
      </c>
      <c r="C49" s="52" t="s">
        <v>94</v>
      </c>
      <c r="D49" s="2">
        <v>33.700000000000003</v>
      </c>
      <c r="E49">
        <v>3</v>
      </c>
    </row>
    <row r="50" spans="1:5" x14ac:dyDescent="0.25">
      <c r="A50" s="1" t="s">
        <v>107</v>
      </c>
      <c r="B50" s="52">
        <v>0.71699999999999997</v>
      </c>
      <c r="C50" s="52" t="s">
        <v>94</v>
      </c>
      <c r="D50" s="2">
        <v>43.5</v>
      </c>
      <c r="E50">
        <v>3</v>
      </c>
    </row>
    <row r="51" spans="1:5" x14ac:dyDescent="0.25">
      <c r="A51" s="1" t="s">
        <v>108</v>
      </c>
      <c r="B51" s="52">
        <v>0.71499999999999997</v>
      </c>
      <c r="C51" s="52" t="s">
        <v>94</v>
      </c>
      <c r="D51" s="2">
        <v>33.700000000000003</v>
      </c>
      <c r="E51">
        <v>3</v>
      </c>
    </row>
    <row r="52" spans="1:5" x14ac:dyDescent="0.25">
      <c r="A52" s="1" t="s">
        <v>109</v>
      </c>
      <c r="B52" s="52">
        <v>0.71499999999999997</v>
      </c>
      <c r="C52" s="52" t="s">
        <v>94</v>
      </c>
      <c r="D52" s="2">
        <v>51.2</v>
      </c>
      <c r="E52">
        <v>3</v>
      </c>
    </row>
    <row r="53" spans="1:5" x14ac:dyDescent="0.25">
      <c r="A53" s="1" t="s">
        <v>110</v>
      </c>
      <c r="B53" s="52">
        <v>0.71299999999999997</v>
      </c>
      <c r="C53" s="52" t="s">
        <v>94</v>
      </c>
      <c r="D53" s="2">
        <v>63</v>
      </c>
      <c r="E53">
        <v>3</v>
      </c>
    </row>
    <row r="54" spans="1:5" x14ac:dyDescent="0.25">
      <c r="A54" s="1" t="s">
        <v>111</v>
      </c>
      <c r="B54" s="52">
        <v>0.70699999999999996</v>
      </c>
      <c r="C54" s="52" t="s">
        <v>94</v>
      </c>
      <c r="D54" s="2">
        <v>38.700000000000003</v>
      </c>
      <c r="E54">
        <v>3</v>
      </c>
    </row>
    <row r="55" spans="1:5" x14ac:dyDescent="0.25">
      <c r="A55" s="1" t="s">
        <v>112</v>
      </c>
      <c r="B55" s="52">
        <v>0.70599999999999996</v>
      </c>
      <c r="C55" s="52" t="s">
        <v>94</v>
      </c>
      <c r="D55" s="2">
        <v>38</v>
      </c>
      <c r="E55">
        <v>3</v>
      </c>
    </row>
    <row r="56" spans="1:5" x14ac:dyDescent="0.25">
      <c r="A56" s="1" t="s">
        <v>113</v>
      </c>
      <c r="B56" s="52">
        <v>0.70599999999999996</v>
      </c>
      <c r="C56" s="52" t="s">
        <v>94</v>
      </c>
      <c r="D56" s="2">
        <v>31.8</v>
      </c>
      <c r="E56">
        <v>3</v>
      </c>
    </row>
    <row r="57" spans="1:5" x14ac:dyDescent="0.25">
      <c r="A57" s="1" t="s">
        <v>114</v>
      </c>
      <c r="B57" s="52">
        <v>0.70499999999999996</v>
      </c>
      <c r="C57" s="52" t="s">
        <v>94</v>
      </c>
      <c r="D57" s="2">
        <v>37.299999999999997</v>
      </c>
      <c r="E57">
        <v>3</v>
      </c>
    </row>
    <row r="58" spans="1:5" x14ac:dyDescent="0.25">
      <c r="A58" s="1" t="s">
        <v>115</v>
      </c>
      <c r="B58" s="52">
        <v>0.70299999999999996</v>
      </c>
      <c r="C58" s="52" t="s">
        <v>94</v>
      </c>
      <c r="D58" s="2">
        <v>35.700000000000003</v>
      </c>
      <c r="E58">
        <v>3</v>
      </c>
    </row>
    <row r="59" spans="1:5" x14ac:dyDescent="0.25">
      <c r="A59" s="1" t="s">
        <v>25</v>
      </c>
      <c r="B59" s="52">
        <v>0.67500000000000004</v>
      </c>
      <c r="C59" s="52" t="s">
        <v>116</v>
      </c>
      <c r="D59" s="2">
        <v>38.799999999999997</v>
      </c>
      <c r="E59">
        <v>2</v>
      </c>
    </row>
    <row r="60" spans="1:5" x14ac:dyDescent="0.25">
      <c r="A60" s="1" t="s">
        <v>117</v>
      </c>
      <c r="B60" s="52">
        <v>0.66700000000000004</v>
      </c>
      <c r="C60" s="52" t="s">
        <v>116</v>
      </c>
      <c r="D60" s="2">
        <v>46.2</v>
      </c>
      <c r="E60">
        <v>2</v>
      </c>
    </row>
    <row r="61" spans="1:5" x14ac:dyDescent="0.25">
      <c r="A61" s="1" t="s">
        <v>118</v>
      </c>
      <c r="B61" s="52">
        <v>0.66600000000000004</v>
      </c>
      <c r="C61" s="52" t="s">
        <v>116</v>
      </c>
      <c r="D61" s="2">
        <v>37.4</v>
      </c>
      <c r="E61">
        <v>2</v>
      </c>
    </row>
    <row r="62" spans="1:5" x14ac:dyDescent="0.25">
      <c r="A62" s="1" t="s">
        <v>119</v>
      </c>
      <c r="B62" s="52">
        <v>0.66200000000000003</v>
      </c>
      <c r="C62" s="52" t="s">
        <v>116</v>
      </c>
      <c r="D62" s="2">
        <v>42.4</v>
      </c>
      <c r="E62">
        <v>2</v>
      </c>
    </row>
    <row r="63" spans="1:5" x14ac:dyDescent="0.25">
      <c r="A63" s="1" t="s">
        <v>120</v>
      </c>
      <c r="B63" s="52">
        <v>0.66100000000000003</v>
      </c>
      <c r="C63" s="52" t="s">
        <v>116</v>
      </c>
      <c r="D63" s="2">
        <v>32.4</v>
      </c>
      <c r="E63">
        <v>2</v>
      </c>
    </row>
    <row r="64" spans="1:5" x14ac:dyDescent="0.25">
      <c r="A64" s="1" t="s">
        <v>121</v>
      </c>
      <c r="B64" s="52">
        <v>0.64100000000000001</v>
      </c>
      <c r="C64" s="52" t="s">
        <v>116</v>
      </c>
      <c r="D64" s="2">
        <v>39.1</v>
      </c>
      <c r="E64">
        <v>2</v>
      </c>
    </row>
    <row r="65" spans="1:5" x14ac:dyDescent="0.25">
      <c r="A65" s="1" t="s">
        <v>122</v>
      </c>
      <c r="B65" s="52">
        <v>0.63900000000000001</v>
      </c>
      <c r="C65" s="52" t="s">
        <v>116</v>
      </c>
      <c r="D65" s="2">
        <v>35.5</v>
      </c>
      <c r="E65">
        <v>2</v>
      </c>
    </row>
    <row r="66" spans="1:5" x14ac:dyDescent="0.25">
      <c r="A66" s="1" t="s">
        <v>53</v>
      </c>
      <c r="B66" s="52">
        <v>0.63300000000000001</v>
      </c>
      <c r="C66" s="52" t="s">
        <v>116</v>
      </c>
      <c r="D66" s="2">
        <v>35.700000000000003</v>
      </c>
      <c r="E66">
        <v>2</v>
      </c>
    </row>
    <row r="67" spans="1:5" x14ac:dyDescent="0.25">
      <c r="A67" s="1" t="s">
        <v>26</v>
      </c>
      <c r="B67" s="52">
        <v>0.63200000000000001</v>
      </c>
      <c r="C67" s="52" t="s">
        <v>116</v>
      </c>
      <c r="D67" s="2">
        <v>43.5</v>
      </c>
      <c r="E67">
        <v>2</v>
      </c>
    </row>
    <row r="68" spans="1:5" x14ac:dyDescent="0.25">
      <c r="A68" s="1" t="s">
        <v>123</v>
      </c>
      <c r="B68" s="52">
        <v>0.628</v>
      </c>
      <c r="C68" s="52" t="s">
        <v>116</v>
      </c>
      <c r="D68" s="2">
        <v>40.1</v>
      </c>
      <c r="E68">
        <v>2</v>
      </c>
    </row>
    <row r="69" spans="1:5" x14ac:dyDescent="0.25">
      <c r="A69" s="1" t="s">
        <v>27</v>
      </c>
      <c r="B69" s="52">
        <v>0.627</v>
      </c>
      <c r="C69" s="52" t="s">
        <v>116</v>
      </c>
      <c r="D69" s="2">
        <v>48.3</v>
      </c>
      <c r="E69">
        <v>2</v>
      </c>
    </row>
    <row r="70" spans="1:5" x14ac:dyDescent="0.25">
      <c r="A70" s="1" t="s">
        <v>124</v>
      </c>
      <c r="B70" s="52">
        <v>0.624</v>
      </c>
      <c r="C70" s="52" t="s">
        <v>116</v>
      </c>
      <c r="D70" s="2">
        <v>27.8</v>
      </c>
      <c r="E70">
        <v>2</v>
      </c>
    </row>
    <row r="71" spans="1:5" x14ac:dyDescent="0.25">
      <c r="A71" s="1" t="s">
        <v>28</v>
      </c>
      <c r="B71" s="52">
        <v>0.621</v>
      </c>
      <c r="C71" s="52" t="s">
        <v>116</v>
      </c>
      <c r="D71" s="2">
        <v>48.2</v>
      </c>
      <c r="E71">
        <v>2</v>
      </c>
    </row>
    <row r="72" spans="1:5" x14ac:dyDescent="0.25">
      <c r="A72" s="1" t="s">
        <v>29</v>
      </c>
      <c r="B72" s="52">
        <v>0.61799999999999999</v>
      </c>
      <c r="C72" s="52" t="s">
        <v>116</v>
      </c>
      <c r="D72" s="2">
        <v>40.700000000000003</v>
      </c>
      <c r="E72">
        <v>2</v>
      </c>
    </row>
    <row r="73" spans="1:5" x14ac:dyDescent="0.25">
      <c r="A73" s="1" t="s">
        <v>30</v>
      </c>
      <c r="B73" s="52">
        <v>0.61499999999999999</v>
      </c>
      <c r="C73" s="52" t="s">
        <v>116</v>
      </c>
      <c r="D73" s="2">
        <v>59.1</v>
      </c>
      <c r="E73">
        <v>2</v>
      </c>
    </row>
    <row r="74" spans="1:5" x14ac:dyDescent="0.25">
      <c r="A74" s="1" t="s">
        <v>125</v>
      </c>
      <c r="B74" s="52">
        <v>0.60699999999999998</v>
      </c>
      <c r="C74" s="52" t="s">
        <v>116</v>
      </c>
      <c r="D74" s="2">
        <v>38.799999999999997</v>
      </c>
      <c r="E74">
        <v>2</v>
      </c>
    </row>
    <row r="75" spans="1:5" x14ac:dyDescent="0.25">
      <c r="A75" s="1" t="s">
        <v>126</v>
      </c>
      <c r="B75" s="52">
        <v>0.60699999999999998</v>
      </c>
      <c r="C75" s="52" t="s">
        <v>116</v>
      </c>
      <c r="D75" s="2">
        <v>28.7</v>
      </c>
      <c r="E75">
        <v>2</v>
      </c>
    </row>
    <row r="76" spans="1:5" x14ac:dyDescent="0.25">
      <c r="A76" s="1" t="s">
        <v>127</v>
      </c>
      <c r="B76" s="52">
        <v>0.60699999999999998</v>
      </c>
      <c r="C76" s="52" t="s">
        <v>116</v>
      </c>
      <c r="D76" s="2">
        <v>32.299999999999997</v>
      </c>
      <c r="E76">
        <v>2</v>
      </c>
    </row>
    <row r="77" spans="1:5" x14ac:dyDescent="0.25">
      <c r="A77" s="1" t="s">
        <v>128</v>
      </c>
      <c r="B77" s="52">
        <v>0.57099999999999995</v>
      </c>
      <c r="C77" s="52" t="s">
        <v>116</v>
      </c>
      <c r="D77" s="2">
        <v>48.9</v>
      </c>
      <c r="E77">
        <v>2</v>
      </c>
    </row>
    <row r="78" spans="1:5" x14ac:dyDescent="0.25">
      <c r="A78" s="1" t="s">
        <v>129</v>
      </c>
      <c r="B78" s="52">
        <v>0.56499999999999995</v>
      </c>
      <c r="C78" s="52" t="s">
        <v>116</v>
      </c>
      <c r="D78" s="2">
        <v>57.1</v>
      </c>
      <c r="E78">
        <v>2</v>
      </c>
    </row>
    <row r="79" spans="1:5" x14ac:dyDescent="0.25">
      <c r="A79" s="1" t="s">
        <v>130</v>
      </c>
      <c r="B79" s="52">
        <v>0.56399999999999995</v>
      </c>
      <c r="C79" s="52" t="s">
        <v>116</v>
      </c>
      <c r="D79" s="2">
        <v>37.1</v>
      </c>
      <c r="E79">
        <v>2</v>
      </c>
    </row>
    <row r="80" spans="1:5" x14ac:dyDescent="0.25">
      <c r="A80" s="1" t="s">
        <v>131</v>
      </c>
      <c r="B80" s="52">
        <v>0.55800000000000005</v>
      </c>
      <c r="C80" s="52" t="s">
        <v>116</v>
      </c>
      <c r="D80" s="2">
        <v>45.3</v>
      </c>
      <c r="E80">
        <v>2</v>
      </c>
    </row>
    <row r="81" spans="1:5" x14ac:dyDescent="0.25">
      <c r="A81" s="1" t="s">
        <v>132</v>
      </c>
      <c r="B81" s="52">
        <v>0.55800000000000005</v>
      </c>
      <c r="C81" s="52" t="s">
        <v>116</v>
      </c>
      <c r="D81" s="2">
        <v>41.9</v>
      </c>
      <c r="E81">
        <v>2</v>
      </c>
    </row>
    <row r="82" spans="1:5" x14ac:dyDescent="0.25">
      <c r="A82" s="1" t="s">
        <v>133</v>
      </c>
      <c r="B82" s="52">
        <v>0.55600000000000005</v>
      </c>
      <c r="C82" s="52" t="s">
        <v>116</v>
      </c>
      <c r="D82" s="2">
        <v>32.6</v>
      </c>
      <c r="E82">
        <v>2</v>
      </c>
    </row>
    <row r="83" spans="1:5" x14ac:dyDescent="0.25">
      <c r="A83" s="1" t="s">
        <v>134</v>
      </c>
      <c r="B83" s="52">
        <v>0.55000000000000004</v>
      </c>
      <c r="C83" s="52" t="s">
        <v>116</v>
      </c>
      <c r="D83" s="2">
        <v>37.200000000000003</v>
      </c>
      <c r="E83">
        <v>2</v>
      </c>
    </row>
    <row r="84" spans="1:5" x14ac:dyDescent="0.25">
      <c r="A84" s="1" t="s">
        <v>135</v>
      </c>
      <c r="B84" s="52">
        <v>0.51400000000000001</v>
      </c>
      <c r="C84" s="52" t="s">
        <v>136</v>
      </c>
      <c r="D84" s="2">
        <v>44.9</v>
      </c>
      <c r="E84">
        <v>1</v>
      </c>
    </row>
    <row r="85" spans="1:5" x14ac:dyDescent="0.25">
      <c r="A85" s="1" t="s">
        <v>137</v>
      </c>
      <c r="B85" s="52">
        <v>0.51200000000000001</v>
      </c>
      <c r="C85" s="52" t="s">
        <v>136</v>
      </c>
      <c r="D85" s="2">
        <v>38.5</v>
      </c>
      <c r="E85">
        <v>1</v>
      </c>
    </row>
    <row r="86" spans="1:5" x14ac:dyDescent="0.25">
      <c r="A86" s="1" t="s">
        <v>138</v>
      </c>
      <c r="B86" s="52">
        <v>0.51100000000000001</v>
      </c>
      <c r="C86" s="52" t="s">
        <v>136</v>
      </c>
      <c r="D86" s="2">
        <v>38.1</v>
      </c>
      <c r="E86">
        <v>1</v>
      </c>
    </row>
    <row r="87" spans="1:5" x14ac:dyDescent="0.25">
      <c r="A87" s="1" t="s">
        <v>139</v>
      </c>
      <c r="B87" s="52">
        <v>0.50900000000000001</v>
      </c>
      <c r="C87" s="52" t="s">
        <v>136</v>
      </c>
      <c r="D87" s="2">
        <v>41.6</v>
      </c>
      <c r="E87">
        <v>1</v>
      </c>
    </row>
    <row r="88" spans="1:5" x14ac:dyDescent="0.25">
      <c r="A88" s="1" t="s">
        <v>140</v>
      </c>
      <c r="B88" s="52">
        <v>0.50800000000000001</v>
      </c>
      <c r="C88" s="52" t="s">
        <v>136</v>
      </c>
      <c r="D88" s="2">
        <v>34.200000000000003</v>
      </c>
      <c r="E88">
        <v>1</v>
      </c>
    </row>
    <row r="89" spans="1:5" x14ac:dyDescent="0.25">
      <c r="A89" s="1" t="s">
        <v>141</v>
      </c>
      <c r="B89" s="52">
        <v>0.501</v>
      </c>
      <c r="C89" s="52" t="s">
        <v>136</v>
      </c>
      <c r="D89" s="2">
        <v>42.6</v>
      </c>
      <c r="E89">
        <v>1</v>
      </c>
    </row>
    <row r="90" spans="1:5" x14ac:dyDescent="0.25">
      <c r="A90" s="1" t="s">
        <v>142</v>
      </c>
      <c r="B90" s="52">
        <v>0.5</v>
      </c>
      <c r="C90" s="52" t="s">
        <v>136</v>
      </c>
      <c r="D90" s="2">
        <v>35.9</v>
      </c>
      <c r="E90">
        <v>1</v>
      </c>
    </row>
    <row r="91" spans="1:5" x14ac:dyDescent="0.25">
      <c r="A91" s="1" t="s">
        <v>143</v>
      </c>
      <c r="B91" s="52">
        <v>0.498</v>
      </c>
      <c r="C91" s="52" t="s">
        <v>136</v>
      </c>
      <c r="D91" s="2">
        <v>35</v>
      </c>
      <c r="E91">
        <v>1</v>
      </c>
    </row>
    <row r="92" spans="1:5" x14ac:dyDescent="0.25">
      <c r="A92" s="1" t="s">
        <v>144</v>
      </c>
      <c r="B92" s="52">
        <v>0.48299999999999998</v>
      </c>
      <c r="C92" s="52" t="s">
        <v>136</v>
      </c>
      <c r="D92" s="2">
        <v>34.799999999999997</v>
      </c>
      <c r="E92">
        <v>1</v>
      </c>
    </row>
    <row r="93" spans="1:5" x14ac:dyDescent="0.25">
      <c r="A93" s="1" t="s">
        <v>145</v>
      </c>
      <c r="B93" s="52">
        <v>0.48099999999999998</v>
      </c>
      <c r="C93" s="52" t="s">
        <v>136</v>
      </c>
      <c r="D93" s="2">
        <v>35.299999999999997</v>
      </c>
      <c r="E93">
        <v>1</v>
      </c>
    </row>
    <row r="94" spans="1:5" x14ac:dyDescent="0.25">
      <c r="A94" s="1" t="s">
        <v>146</v>
      </c>
      <c r="B94" s="52">
        <v>0.47899999999999998</v>
      </c>
      <c r="C94" s="52" t="s">
        <v>136</v>
      </c>
      <c r="D94" s="2">
        <v>42.1</v>
      </c>
      <c r="E94">
        <v>1</v>
      </c>
    </row>
    <row r="95" spans="1:5" x14ac:dyDescent="0.25">
      <c r="A95" s="1" t="s">
        <v>147</v>
      </c>
      <c r="B95" s="52">
        <v>0.47699999999999998</v>
      </c>
      <c r="C95" s="52" t="s">
        <v>136</v>
      </c>
      <c r="D95" s="2">
        <v>35.700000000000003</v>
      </c>
      <c r="E95">
        <v>1</v>
      </c>
    </row>
    <row r="96" spans="1:5" x14ac:dyDescent="0.25">
      <c r="A96" s="1" t="s">
        <v>148</v>
      </c>
      <c r="B96" s="52">
        <v>0.46500000000000002</v>
      </c>
      <c r="C96" s="52" t="s">
        <v>136</v>
      </c>
      <c r="D96" s="2">
        <v>29.6</v>
      </c>
      <c r="E96">
        <v>1</v>
      </c>
    </row>
    <row r="97" spans="1:5" x14ac:dyDescent="0.25">
      <c r="A97" s="1" t="s">
        <v>149</v>
      </c>
      <c r="B97" s="52">
        <v>0.45500000000000002</v>
      </c>
      <c r="C97" s="52" t="s">
        <v>136</v>
      </c>
      <c r="D97" s="2">
        <v>36.700000000000003</v>
      </c>
      <c r="E97">
        <v>1</v>
      </c>
    </row>
    <row r="98" spans="1:5" x14ac:dyDescent="0.25">
      <c r="A98" s="1" t="s">
        <v>150</v>
      </c>
      <c r="B98" s="52">
        <v>0.44900000000000001</v>
      </c>
      <c r="C98" s="52" t="s">
        <v>136</v>
      </c>
      <c r="D98" s="2">
        <v>47.3</v>
      </c>
      <c r="E98">
        <v>1</v>
      </c>
    </row>
    <row r="99" spans="1:5" x14ac:dyDescent="0.25">
      <c r="A99" s="1" t="s">
        <v>151</v>
      </c>
      <c r="B99" s="52">
        <v>0.44600000000000001</v>
      </c>
      <c r="C99" s="52" t="s">
        <v>136</v>
      </c>
      <c r="D99" s="2">
        <v>54</v>
      </c>
      <c r="E99">
        <v>1</v>
      </c>
    </row>
    <row r="100" spans="1:5" x14ac:dyDescent="0.25">
      <c r="A100" s="1" t="s">
        <v>152</v>
      </c>
      <c r="B100" s="52">
        <v>0.42799999999999999</v>
      </c>
      <c r="C100" s="52" t="s">
        <v>136</v>
      </c>
      <c r="D100" s="2">
        <v>36.1</v>
      </c>
      <c r="E100">
        <v>1</v>
      </c>
    </row>
    <row r="101" spans="1:5" x14ac:dyDescent="0.25">
      <c r="A101" s="1" t="s">
        <v>153</v>
      </c>
      <c r="B101" s="52">
        <v>0.42599999999999999</v>
      </c>
      <c r="C101" s="52" t="s">
        <v>136</v>
      </c>
      <c r="D101" s="2">
        <v>38.6</v>
      </c>
      <c r="E101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K5" sqref="K5"/>
    </sheetView>
  </sheetViews>
  <sheetFormatPr defaultRowHeight="15" x14ac:dyDescent="0.25"/>
  <sheetData>
    <row r="1" spans="1:9" ht="120" x14ac:dyDescent="0.25">
      <c r="A1" s="64" t="s">
        <v>154</v>
      </c>
      <c r="B1" s="64" t="s">
        <v>155</v>
      </c>
      <c r="C1" s="65" t="s">
        <v>156</v>
      </c>
      <c r="D1" s="64" t="s">
        <v>157</v>
      </c>
      <c r="E1" s="64"/>
      <c r="F1" s="65" t="s">
        <v>158</v>
      </c>
      <c r="G1" s="65" t="s">
        <v>159</v>
      </c>
      <c r="H1" s="65" t="s">
        <v>160</v>
      </c>
      <c r="I1" s="65" t="s">
        <v>161</v>
      </c>
    </row>
    <row r="2" spans="1:9" x14ac:dyDescent="0.25">
      <c r="A2" t="s">
        <v>162</v>
      </c>
      <c r="B2">
        <v>66</v>
      </c>
      <c r="C2">
        <v>65.2</v>
      </c>
      <c r="D2">
        <v>58</v>
      </c>
      <c r="F2">
        <f>B2/100</f>
        <v>0.66</v>
      </c>
      <c r="G2">
        <f>C2/100</f>
        <v>0.65200000000000002</v>
      </c>
      <c r="H2">
        <f>(100-D2/10)/100</f>
        <v>0.94200000000000006</v>
      </c>
      <c r="I2">
        <f>GEOMEAN(F2,G2,H2)</f>
        <v>0.74008365258363717</v>
      </c>
    </row>
    <row r="3" spans="1:9" x14ac:dyDescent="0.25">
      <c r="A3" t="s">
        <v>163</v>
      </c>
      <c r="B3">
        <v>98</v>
      </c>
      <c r="C3">
        <v>88.4</v>
      </c>
      <c r="D3">
        <v>9.8000000000000007</v>
      </c>
      <c r="F3">
        <f t="shared" ref="F3:G27" si="0">B3/100</f>
        <v>0.98</v>
      </c>
      <c r="G3">
        <f t="shared" si="0"/>
        <v>0.88400000000000001</v>
      </c>
      <c r="H3">
        <f t="shared" ref="H3:H27" si="1">(100-D3/10)/100</f>
        <v>0.99019999999999997</v>
      </c>
      <c r="I3">
        <f t="shared" ref="I3:I27" si="2">GEOMEAN(F3,G3,H3)</f>
        <v>0.95016804561889712</v>
      </c>
    </row>
    <row r="4" spans="1:9" x14ac:dyDescent="0.25">
      <c r="A4" t="s">
        <v>100</v>
      </c>
      <c r="B4">
        <v>91</v>
      </c>
      <c r="C4">
        <v>95.3</v>
      </c>
      <c r="D4">
        <v>22.7</v>
      </c>
      <c r="F4">
        <f t="shared" si="0"/>
        <v>0.91</v>
      </c>
      <c r="G4">
        <f t="shared" si="0"/>
        <v>0.95299999999999996</v>
      </c>
      <c r="H4">
        <f t="shared" si="1"/>
        <v>0.97730000000000006</v>
      </c>
      <c r="I4">
        <f t="shared" si="2"/>
        <v>0.94635496268979458</v>
      </c>
    </row>
    <row r="5" spans="1:9" x14ac:dyDescent="0.25">
      <c r="A5" t="s">
        <v>164</v>
      </c>
      <c r="B5">
        <v>93</v>
      </c>
      <c r="C5">
        <v>99.6</v>
      </c>
      <c r="D5">
        <v>10.9</v>
      </c>
      <c r="F5">
        <f t="shared" si="0"/>
        <v>0.93</v>
      </c>
      <c r="G5">
        <f t="shared" si="0"/>
        <v>0.996</v>
      </c>
      <c r="H5">
        <f t="shared" si="1"/>
        <v>0.98909999999999998</v>
      </c>
      <c r="I5">
        <f t="shared" si="2"/>
        <v>0.97124209322583388</v>
      </c>
    </row>
    <row r="6" spans="1:9" x14ac:dyDescent="0.25">
      <c r="A6" t="s">
        <v>165</v>
      </c>
      <c r="B6">
        <v>89</v>
      </c>
      <c r="C6">
        <v>91.7</v>
      </c>
      <c r="D6">
        <v>19.399999999999999</v>
      </c>
      <c r="F6">
        <f t="shared" si="0"/>
        <v>0.89</v>
      </c>
      <c r="G6">
        <f t="shared" si="0"/>
        <v>0.91700000000000004</v>
      </c>
      <c r="H6">
        <f t="shared" si="1"/>
        <v>0.98060000000000003</v>
      </c>
      <c r="I6">
        <f t="shared" si="2"/>
        <v>0.92843266199566443</v>
      </c>
    </row>
    <row r="7" spans="1:9" x14ac:dyDescent="0.25">
      <c r="A7" t="s">
        <v>120</v>
      </c>
      <c r="B7">
        <v>98</v>
      </c>
      <c r="C7">
        <v>75.2</v>
      </c>
      <c r="D7">
        <v>29.1</v>
      </c>
      <c r="F7">
        <f t="shared" si="0"/>
        <v>0.98</v>
      </c>
      <c r="G7">
        <f t="shared" si="0"/>
        <v>0.752</v>
      </c>
      <c r="H7">
        <f t="shared" si="1"/>
        <v>0.97089999999999999</v>
      </c>
      <c r="I7">
        <f t="shared" si="2"/>
        <v>0.89441582052206303</v>
      </c>
    </row>
    <row r="8" spans="1:9" x14ac:dyDescent="0.25">
      <c r="A8" t="s">
        <v>89</v>
      </c>
      <c r="B8">
        <v>98</v>
      </c>
      <c r="C8">
        <v>99.9</v>
      </c>
      <c r="D8">
        <v>2.9</v>
      </c>
      <c r="F8">
        <f t="shared" si="0"/>
        <v>0.98</v>
      </c>
      <c r="G8">
        <f t="shared" si="0"/>
        <v>0.99900000000000011</v>
      </c>
      <c r="H8">
        <f t="shared" si="1"/>
        <v>0.99709999999999999</v>
      </c>
      <c r="I8">
        <f t="shared" si="2"/>
        <v>0.99199639385287253</v>
      </c>
    </row>
    <row r="9" spans="1:9" x14ac:dyDescent="0.25">
      <c r="A9" t="s">
        <v>118</v>
      </c>
      <c r="B9">
        <v>98</v>
      </c>
      <c r="C9">
        <v>97.9</v>
      </c>
      <c r="D9">
        <v>27.6</v>
      </c>
      <c r="F9">
        <f t="shared" si="0"/>
        <v>0.98</v>
      </c>
      <c r="G9">
        <f t="shared" si="0"/>
        <v>0.97900000000000009</v>
      </c>
      <c r="H9">
        <f t="shared" si="1"/>
        <v>0.97239999999999993</v>
      </c>
      <c r="I9">
        <f t="shared" si="2"/>
        <v>0.9771275069853429</v>
      </c>
    </row>
    <row r="10" spans="1:9" x14ac:dyDescent="0.25">
      <c r="A10" t="s">
        <v>95</v>
      </c>
      <c r="B10">
        <v>73</v>
      </c>
      <c r="C10">
        <v>87</v>
      </c>
      <c r="D10">
        <v>5.7</v>
      </c>
      <c r="F10">
        <f t="shared" si="0"/>
        <v>0.73</v>
      </c>
      <c r="G10">
        <f t="shared" si="0"/>
        <v>0.87</v>
      </c>
      <c r="H10">
        <f t="shared" si="1"/>
        <v>0.99430000000000007</v>
      </c>
      <c r="I10">
        <f t="shared" si="2"/>
        <v>0.85793262656892511</v>
      </c>
    </row>
    <row r="11" spans="1:9" x14ac:dyDescent="0.25">
      <c r="A11" t="s">
        <v>166</v>
      </c>
      <c r="B11">
        <v>68</v>
      </c>
      <c r="C11">
        <v>97.2</v>
      </c>
      <c r="D11">
        <v>14.7</v>
      </c>
      <c r="F11">
        <f t="shared" si="0"/>
        <v>0.68</v>
      </c>
      <c r="G11">
        <f t="shared" si="0"/>
        <v>0.97199999999999998</v>
      </c>
      <c r="H11">
        <f t="shared" si="1"/>
        <v>0.98530000000000006</v>
      </c>
      <c r="I11">
        <f t="shared" si="2"/>
        <v>0.8667913196113588</v>
      </c>
    </row>
    <row r="12" spans="1:9" x14ac:dyDescent="0.25">
      <c r="A12" t="s">
        <v>167</v>
      </c>
      <c r="B12">
        <v>92</v>
      </c>
      <c r="C12">
        <v>95.3</v>
      </c>
      <c r="D12">
        <v>25.7</v>
      </c>
      <c r="F12">
        <f t="shared" si="0"/>
        <v>0.92</v>
      </c>
      <c r="G12">
        <f t="shared" si="0"/>
        <v>0.95299999999999996</v>
      </c>
      <c r="H12">
        <f t="shared" si="1"/>
        <v>0.97430000000000005</v>
      </c>
      <c r="I12">
        <f t="shared" si="2"/>
        <v>0.94883597709015266</v>
      </c>
    </row>
    <row r="13" spans="1:9" x14ac:dyDescent="0.25">
      <c r="A13" t="s">
        <v>168</v>
      </c>
      <c r="B13">
        <v>42</v>
      </c>
      <c r="C13">
        <v>51.8</v>
      </c>
      <c r="D13">
        <v>103</v>
      </c>
      <c r="F13">
        <f t="shared" si="0"/>
        <v>0.42</v>
      </c>
      <c r="G13">
        <f t="shared" si="0"/>
        <v>0.51800000000000002</v>
      </c>
      <c r="H13">
        <f t="shared" si="1"/>
        <v>0.89700000000000002</v>
      </c>
      <c r="I13">
        <f t="shared" si="2"/>
        <v>0.58003895893675295</v>
      </c>
    </row>
    <row r="14" spans="1:9" x14ac:dyDescent="0.25">
      <c r="A14" t="s">
        <v>169</v>
      </c>
      <c r="B14">
        <v>58</v>
      </c>
      <c r="C14">
        <v>54.7</v>
      </c>
      <c r="D14">
        <v>110</v>
      </c>
      <c r="F14">
        <f t="shared" si="0"/>
        <v>0.57999999999999996</v>
      </c>
      <c r="G14">
        <f t="shared" si="0"/>
        <v>0.54700000000000004</v>
      </c>
      <c r="H14">
        <f t="shared" si="1"/>
        <v>0.89</v>
      </c>
      <c r="I14">
        <f t="shared" si="2"/>
        <v>0.65604723410634713</v>
      </c>
    </row>
    <row r="15" spans="1:9" x14ac:dyDescent="0.25">
      <c r="A15" t="s">
        <v>99</v>
      </c>
      <c r="B15">
        <v>86</v>
      </c>
      <c r="C15">
        <v>97.2</v>
      </c>
      <c r="D15">
        <v>13.2</v>
      </c>
      <c r="F15">
        <f t="shared" si="0"/>
        <v>0.86</v>
      </c>
      <c r="G15">
        <f t="shared" si="0"/>
        <v>0.97199999999999998</v>
      </c>
      <c r="H15">
        <f t="shared" si="1"/>
        <v>0.98680000000000012</v>
      </c>
      <c r="I15">
        <f t="shared" si="2"/>
        <v>0.937845471397177</v>
      </c>
    </row>
    <row r="16" spans="1:9" x14ac:dyDescent="0.25">
      <c r="A16" t="s">
        <v>170</v>
      </c>
      <c r="B16">
        <v>65</v>
      </c>
      <c r="C16">
        <v>82.4</v>
      </c>
      <c r="D16">
        <v>81.2</v>
      </c>
      <c r="F16">
        <f t="shared" si="0"/>
        <v>0.65</v>
      </c>
      <c r="G16">
        <f t="shared" si="0"/>
        <v>0.82400000000000007</v>
      </c>
      <c r="H16">
        <f t="shared" si="1"/>
        <v>0.91879999999999995</v>
      </c>
      <c r="I16">
        <f t="shared" si="2"/>
        <v>0.78950312182786286</v>
      </c>
    </row>
    <row r="17" spans="1:9" x14ac:dyDescent="0.25">
      <c r="A17" t="s">
        <v>171</v>
      </c>
      <c r="B17">
        <v>77</v>
      </c>
      <c r="C17">
        <v>93.5</v>
      </c>
      <c r="D17">
        <v>44.6</v>
      </c>
      <c r="F17">
        <f t="shared" si="0"/>
        <v>0.77</v>
      </c>
      <c r="G17">
        <f t="shared" si="0"/>
        <v>0.93500000000000005</v>
      </c>
      <c r="H17">
        <f t="shared" si="1"/>
        <v>0.95540000000000003</v>
      </c>
      <c r="I17">
        <f t="shared" si="2"/>
        <v>0.88273265138668089</v>
      </c>
    </row>
    <row r="18" spans="1:9" x14ac:dyDescent="0.25">
      <c r="A18" t="s">
        <v>87</v>
      </c>
      <c r="B18">
        <v>99</v>
      </c>
      <c r="C18">
        <v>97.6</v>
      </c>
      <c r="D18">
        <v>7.9</v>
      </c>
      <c r="F18">
        <f t="shared" si="0"/>
        <v>0.99</v>
      </c>
      <c r="G18">
        <f t="shared" si="0"/>
        <v>0.97599999999999998</v>
      </c>
      <c r="H18">
        <f t="shared" si="1"/>
        <v>0.99209999999999998</v>
      </c>
      <c r="I18">
        <f t="shared" si="2"/>
        <v>0.98600735374349691</v>
      </c>
    </row>
    <row r="19" spans="1:9" x14ac:dyDescent="0.25">
      <c r="A19" t="s">
        <v>172</v>
      </c>
      <c r="B19">
        <v>76</v>
      </c>
      <c r="C19">
        <v>93.2</v>
      </c>
      <c r="D19">
        <v>77.900000000000006</v>
      </c>
      <c r="F19">
        <f t="shared" si="0"/>
        <v>0.76</v>
      </c>
      <c r="G19">
        <f t="shared" si="0"/>
        <v>0.93200000000000005</v>
      </c>
      <c r="H19">
        <f t="shared" si="1"/>
        <v>0.92209999999999992</v>
      </c>
      <c r="I19">
        <f t="shared" si="2"/>
        <v>0.86763256124942101</v>
      </c>
    </row>
    <row r="20" spans="1:9" x14ac:dyDescent="0.25">
      <c r="A20" t="s">
        <v>143</v>
      </c>
      <c r="B20">
        <v>65</v>
      </c>
      <c r="C20">
        <v>73.599999999999994</v>
      </c>
      <c r="D20">
        <v>48.7</v>
      </c>
      <c r="F20">
        <f t="shared" si="0"/>
        <v>0.65</v>
      </c>
      <c r="G20">
        <f t="shared" si="0"/>
        <v>0.73599999999999999</v>
      </c>
      <c r="H20">
        <f t="shared" si="1"/>
        <v>0.95129999999999992</v>
      </c>
      <c r="I20">
        <f t="shared" si="2"/>
        <v>0.76919459271917745</v>
      </c>
    </row>
    <row r="21" spans="1:9" x14ac:dyDescent="0.25">
      <c r="A21" t="s">
        <v>173</v>
      </c>
      <c r="B21">
        <v>82</v>
      </c>
      <c r="C21">
        <v>97.8</v>
      </c>
      <c r="D21">
        <v>49.4</v>
      </c>
      <c r="F21">
        <f t="shared" si="0"/>
        <v>0.82</v>
      </c>
      <c r="G21">
        <f t="shared" si="0"/>
        <v>0.97799999999999998</v>
      </c>
      <c r="H21">
        <f t="shared" si="1"/>
        <v>0.9506</v>
      </c>
      <c r="I21">
        <f t="shared" si="2"/>
        <v>0.91351743188355705</v>
      </c>
    </row>
    <row r="22" spans="1:9" x14ac:dyDescent="0.25">
      <c r="A22" t="s">
        <v>90</v>
      </c>
      <c r="B22">
        <v>85</v>
      </c>
      <c r="C22">
        <v>97.6</v>
      </c>
      <c r="D22">
        <v>9.3000000000000007</v>
      </c>
      <c r="F22">
        <f t="shared" si="0"/>
        <v>0.85</v>
      </c>
      <c r="G22">
        <f t="shared" si="0"/>
        <v>0.97599999999999998</v>
      </c>
      <c r="H22">
        <f t="shared" si="1"/>
        <v>0.99069999999999991</v>
      </c>
      <c r="I22">
        <f t="shared" si="2"/>
        <v>0.93670671904538161</v>
      </c>
    </row>
    <row r="23" spans="1:9" x14ac:dyDescent="0.25">
      <c r="A23" t="s">
        <v>26</v>
      </c>
      <c r="B23">
        <v>98</v>
      </c>
      <c r="C23">
        <v>97.4</v>
      </c>
      <c r="D23">
        <v>44.7</v>
      </c>
      <c r="F23">
        <f t="shared" si="0"/>
        <v>0.98</v>
      </c>
      <c r="G23">
        <f t="shared" si="0"/>
        <v>0.97400000000000009</v>
      </c>
      <c r="H23">
        <f t="shared" si="1"/>
        <v>0.95530000000000004</v>
      </c>
      <c r="I23">
        <f t="shared" si="2"/>
        <v>0.96970939535620515</v>
      </c>
    </row>
    <row r="24" spans="1:9" x14ac:dyDescent="0.25">
      <c r="A24" t="s">
        <v>27</v>
      </c>
      <c r="B24">
        <v>79</v>
      </c>
      <c r="C24">
        <v>91.3</v>
      </c>
      <c r="D24">
        <v>23.6</v>
      </c>
      <c r="F24">
        <f t="shared" si="0"/>
        <v>0.79</v>
      </c>
      <c r="G24">
        <f t="shared" si="0"/>
        <v>0.91299999999999992</v>
      </c>
      <c r="H24">
        <f t="shared" si="1"/>
        <v>0.97640000000000005</v>
      </c>
      <c r="I24">
        <f t="shared" si="2"/>
        <v>0.88969649542601392</v>
      </c>
    </row>
    <row r="25" spans="1:9" x14ac:dyDescent="0.25">
      <c r="A25" t="s">
        <v>144</v>
      </c>
      <c r="B25">
        <v>67</v>
      </c>
      <c r="C25">
        <v>97</v>
      </c>
      <c r="D25">
        <v>76.8</v>
      </c>
      <c r="F25">
        <f t="shared" si="0"/>
        <v>0.67</v>
      </c>
      <c r="G25">
        <f t="shared" si="0"/>
        <v>0.97</v>
      </c>
      <c r="H25">
        <f t="shared" si="1"/>
        <v>0.92319999999999991</v>
      </c>
      <c r="I25">
        <f t="shared" si="2"/>
        <v>0.84342689243421676</v>
      </c>
    </row>
    <row r="26" spans="1:9" x14ac:dyDescent="0.25">
      <c r="A26" t="s">
        <v>174</v>
      </c>
      <c r="B26">
        <v>98</v>
      </c>
      <c r="C26">
        <v>96.9</v>
      </c>
      <c r="D26">
        <v>12.9</v>
      </c>
      <c r="F26">
        <f t="shared" si="0"/>
        <v>0.98</v>
      </c>
      <c r="G26">
        <f t="shared" si="0"/>
        <v>0.96900000000000008</v>
      </c>
      <c r="H26">
        <f t="shared" si="1"/>
        <v>0.98709999999999998</v>
      </c>
      <c r="I26">
        <f t="shared" si="2"/>
        <v>0.97867163562451087</v>
      </c>
    </row>
    <row r="27" spans="1:9" x14ac:dyDescent="0.25">
      <c r="A27" t="s">
        <v>21</v>
      </c>
      <c r="B27">
        <v>78</v>
      </c>
      <c r="C27">
        <v>87.6</v>
      </c>
      <c r="D27">
        <v>25.2</v>
      </c>
      <c r="F27">
        <f t="shared" si="0"/>
        <v>0.78</v>
      </c>
      <c r="G27">
        <f t="shared" si="0"/>
        <v>0.87599999999999989</v>
      </c>
      <c r="H27">
        <f t="shared" si="1"/>
        <v>0.9748</v>
      </c>
      <c r="I27">
        <f t="shared" si="2"/>
        <v>0.87331598564431434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 01</vt:lpstr>
      <vt:lpstr>Problem 02</vt:lpstr>
      <vt:lpstr>Problem 03</vt:lpstr>
      <vt:lpstr>Problem 04</vt:lpstr>
    </vt:vector>
  </TitlesOfParts>
  <Company>Dockur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for Docker</dc:creator>
  <cp:lastModifiedBy>Windows for Docker</cp:lastModifiedBy>
  <dcterms:created xsi:type="dcterms:W3CDTF">2026-09-19T08:29:35Z</dcterms:created>
  <dcterms:modified xsi:type="dcterms:W3CDTF">2026-09-19T10:37:56Z</dcterms:modified>
</cp:coreProperties>
</file>