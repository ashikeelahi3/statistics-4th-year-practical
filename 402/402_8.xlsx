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CAE1DE7F-6B38-45F7-BC57-04B9A0818C85}" xr6:coauthVersionLast="47" xr6:coauthVersionMax="47" xr10:uidLastSave="{00000000-0000-0000-0000-000000000000}"/>
  <bookViews>
    <workbookView xWindow="-110" yWindow="-110" windowWidth="19420" windowHeight="11020" xr2:uid="{3ED6F0FC-D2E6-4B7B-8B76-6ACC5BA10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18" i="1"/>
  <c r="I14" i="1"/>
  <c r="I13" i="1"/>
  <c r="E13" i="1"/>
  <c r="G7" i="1"/>
</calcChain>
</file>

<file path=xl/sharedStrings.xml><?xml version="1.0" encoding="utf-8"?>
<sst xmlns="http://schemas.openxmlformats.org/spreadsheetml/2006/main" count="11" uniqueCount="8">
  <si>
    <t>Population 1991 (P1)</t>
  </si>
  <si>
    <t>Population 2001 (P2)</t>
  </si>
  <si>
    <t>r</t>
  </si>
  <si>
    <t>Time (t)</t>
  </si>
  <si>
    <t>t</t>
  </si>
  <si>
    <t>Arithmetic growth  rate</t>
  </si>
  <si>
    <t>Geometric growth rate</t>
  </si>
  <si>
    <t>Exponential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</si>
</sst>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53ED-4F01-4C11-9A3B-452DB154494F}">
  <dimension ref="C5:I19"/>
  <sheetViews>
    <sheetView tabSelected="1" workbookViewId="0">
      <selection activeCell="L12" sqref="L12"/>
    </sheetView>
  </sheetViews>
  <sheetFormatPr defaultRowHeight="14.5" x14ac:dyDescent="0.35"/>
  <cols>
    <col min="5" max="5" width="10.81640625" customWidth="1"/>
    <col min="7" max="7" width="8.36328125" customWidth="1"/>
    <col min="9" max="9" width="12.26953125" customWidth="1"/>
  </cols>
  <sheetData>
    <row r="5" spans="3:9" x14ac:dyDescent="0.35">
      <c r="C5" s="3" t="s">
        <v>0</v>
      </c>
      <c r="D5" s="3"/>
      <c r="E5" s="3"/>
      <c r="F5" s="3"/>
      <c r="G5">
        <v>89.9</v>
      </c>
    </row>
    <row r="6" spans="3:9" x14ac:dyDescent="0.35">
      <c r="C6" s="3" t="s">
        <v>1</v>
      </c>
      <c r="D6" s="3"/>
      <c r="E6" s="3"/>
      <c r="F6" s="3"/>
      <c r="G6">
        <v>111.45</v>
      </c>
    </row>
    <row r="7" spans="3:9" x14ac:dyDescent="0.35">
      <c r="C7" s="3" t="s">
        <v>3</v>
      </c>
      <c r="D7" s="3"/>
      <c r="E7" s="3"/>
      <c r="F7" s="3"/>
      <c r="G7">
        <f>2001-1991</f>
        <v>10</v>
      </c>
    </row>
    <row r="12" spans="3:9" x14ac:dyDescent="0.35">
      <c r="D12" s="2" t="s">
        <v>5</v>
      </c>
      <c r="E12" s="2"/>
      <c r="H12" s="2" t="s">
        <v>6</v>
      </c>
      <c r="I12" s="2"/>
    </row>
    <row r="13" spans="3:9" x14ac:dyDescent="0.35">
      <c r="D13" s="1" t="s">
        <v>2</v>
      </c>
      <c r="E13" s="1">
        <f>(G6-G5)/(G7*G5)</f>
        <v>2.3971078976640709E-2</v>
      </c>
      <c r="H13" s="1" t="s">
        <v>2</v>
      </c>
      <c r="I13" s="1">
        <f>((G6/G5)^(1/G7))-1</f>
        <v>2.1720337365876752E-2</v>
      </c>
    </row>
    <row r="14" spans="3:9" x14ac:dyDescent="0.35">
      <c r="D14" s="4"/>
      <c r="E14" s="4"/>
      <c r="H14" s="1" t="s">
        <v>4</v>
      </c>
      <c r="I14" s="1">
        <f>LOG(2)/LOG(I13+1)</f>
        <v>32.257690353423683</v>
      </c>
    </row>
    <row r="17" spans="5:8" x14ac:dyDescent="0.35">
      <c r="E17" s="2" t="s">
        <v>7</v>
      </c>
      <c r="F17" s="2"/>
      <c r="G17" s="2"/>
      <c r="H17" s="2"/>
    </row>
    <row r="18" spans="5:8" x14ac:dyDescent="0.35">
      <c r="F18" s="1" t="s">
        <v>2</v>
      </c>
      <c r="G18" s="1">
        <f>(LN(G6/G5))/G7</f>
        <v>2.1487811835430321E-2</v>
      </c>
    </row>
    <row r="19" spans="5:8" x14ac:dyDescent="0.35">
      <c r="F19" s="1" t="s">
        <v>4</v>
      </c>
      <c r="G19" s="1">
        <f>LN(2)/G18</f>
        <v>32.257690353423747</v>
      </c>
    </row>
  </sheetData>
  <mergeCells count="6">
    <mergeCell ref="E17:H17"/>
    <mergeCell ref="C5:F5"/>
    <mergeCell ref="C6:F6"/>
    <mergeCell ref="C7:F7"/>
    <mergeCell ref="D12:E12"/>
    <mergeCell ref="H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2024-10-16T15:29:16Z</dcterms:created>
  <dcterms:modified xsi:type="dcterms:W3CDTF">2024-10-17T09:31:58Z</dcterms:modified>
</cp:coreProperties>
</file>