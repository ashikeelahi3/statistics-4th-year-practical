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140" windowHeight="10140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5" i="2"/>
  <c r="C12" i="2"/>
  <c r="D11" i="2"/>
  <c r="C11" i="2"/>
  <c r="D11" i="1"/>
  <c r="C11" i="1"/>
  <c r="F15" i="1"/>
  <c r="D12" i="2"/>
  <c r="F13" i="1" l="1"/>
  <c r="F16" i="1" s="1"/>
  <c r="F13" i="2"/>
</calcChain>
</file>

<file path=xl/sharedStrings.xml><?xml version="1.0" encoding="utf-8"?>
<sst xmlns="http://schemas.openxmlformats.org/spreadsheetml/2006/main" count="35" uniqueCount="20">
  <si>
    <t>i</t>
  </si>
  <si>
    <t>Age group</t>
  </si>
  <si>
    <r>
      <t>Male never married S</t>
    </r>
    <r>
      <rPr>
        <b/>
        <vertAlign val="subscript"/>
        <sz val="12"/>
        <color theme="1"/>
        <rFont val="Times New Roman"/>
        <family val="1"/>
      </rPr>
      <t>i</t>
    </r>
  </si>
  <si>
    <r>
      <t>Female never married S</t>
    </r>
    <r>
      <rPr>
        <b/>
        <vertAlign val="subscript"/>
        <sz val="12"/>
        <color theme="1"/>
        <rFont val="Times New Roman"/>
        <family val="1"/>
      </rPr>
      <t>i</t>
    </r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</si>
  <si>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</si>
  <si>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</si>
  <si>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</si>
  <si>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</si>
  <si>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</si>
  <si>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</si>
  <si>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</si>
  <si>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</si>
  <si>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10-14</t>
  </si>
  <si>
    <t>Total</t>
  </si>
  <si>
    <t>SMAM(Male)</t>
  </si>
  <si>
    <t>N</t>
  </si>
  <si>
    <t>SMAM(Female)</t>
  </si>
  <si>
    <t>Male never married Si</t>
  </si>
  <si>
    <t>Female never married Si</t>
  </si>
  <si>
    <t>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</si>
</sst>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J5" sqref="J5"/>
    </sheetView>
  </sheetViews>
  <sheetFormatPr defaultRowHeight="15" x14ac:dyDescent="0.25"/>
  <sheetData>
    <row r="1" spans="1:6" ht="6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ht="15.6" x14ac:dyDescent="0.35">
      <c r="A2" s="2">
        <v>1</v>
      </c>
      <c r="B2" s="3" t="s">
        <v>12</v>
      </c>
      <c r="C2" s="2">
        <v>100</v>
      </c>
      <c r="D2" s="2">
        <v>93.8</v>
      </c>
    </row>
    <row r="3" spans="1:6" ht="15.6" x14ac:dyDescent="0.35">
      <c r="A3" s="2">
        <v>2</v>
      </c>
      <c r="B3" s="2" t="s">
        <v>4</v>
      </c>
      <c r="C3" s="2">
        <v>93</v>
      </c>
      <c r="D3" s="2">
        <v>43.4</v>
      </c>
    </row>
    <row r="4" spans="1:6" ht="15.6" x14ac:dyDescent="0.35">
      <c r="A4" s="2">
        <v>3</v>
      </c>
      <c r="B4" s="2" t="s">
        <v>5</v>
      </c>
      <c r="C4" s="2">
        <v>61.5</v>
      </c>
      <c r="D4" s="2">
        <v>11.2</v>
      </c>
    </row>
    <row r="5" spans="1:6" ht="15.6" x14ac:dyDescent="0.35">
      <c r="A5" s="2">
        <v>4</v>
      </c>
      <c r="B5" s="2" t="s">
        <v>6</v>
      </c>
      <c r="C5" s="2">
        <v>20.6</v>
      </c>
      <c r="D5" s="2">
        <v>3.4</v>
      </c>
    </row>
    <row r="6" spans="1:6" ht="15.6" x14ac:dyDescent="0.35">
      <c r="A6" s="2">
        <v>5</v>
      </c>
      <c r="B6" s="2" t="s">
        <v>7</v>
      </c>
      <c r="C6" s="2">
        <v>5.3</v>
      </c>
      <c r="D6" s="2">
        <v>1</v>
      </c>
    </row>
    <row r="7" spans="1:6" ht="15.6" x14ac:dyDescent="0.35">
      <c r="A7" s="2">
        <v>6</v>
      </c>
      <c r="B7" s="2" t="s">
        <v>8</v>
      </c>
      <c r="C7" s="2">
        <v>1.4</v>
      </c>
      <c r="D7" s="2">
        <v>0.6</v>
      </c>
    </row>
    <row r="8" spans="1:6" ht="15.6" x14ac:dyDescent="0.35">
      <c r="A8" s="2">
        <v>7</v>
      </c>
      <c r="B8" s="2" t="s">
        <v>9</v>
      </c>
      <c r="C8" s="2">
        <v>1</v>
      </c>
      <c r="D8" s="2">
        <v>0.3</v>
      </c>
    </row>
    <row r="9" spans="1:6" ht="15.6" x14ac:dyDescent="0.35">
      <c r="A9" s="2">
        <v>8</v>
      </c>
      <c r="B9" s="2" t="s">
        <v>10</v>
      </c>
      <c r="C9" s="2">
        <v>1.1000000000000001</v>
      </c>
      <c r="D9" s="2">
        <v>0.2</v>
      </c>
    </row>
    <row r="10" spans="1:6" ht="15.6" x14ac:dyDescent="0.35">
      <c r="A10" s="2">
        <v>9</v>
      </c>
      <c r="B10" s="2" t="s">
        <v>11</v>
      </c>
      <c r="C10" s="2">
        <v>0.2</v>
      </c>
      <c r="D10" s="2">
        <v>0.1</v>
      </c>
    </row>
    <row r="11" spans="1:6" ht="14.45" x14ac:dyDescent="0.35">
      <c r="A11" t="s">
        <v>13</v>
      </c>
      <c r="C11">
        <f>SUM(C2:C8)</f>
        <v>282.8</v>
      </c>
      <c r="D11">
        <f>SUM(D2:D8)</f>
        <v>153.69999999999999</v>
      </c>
    </row>
    <row r="13" spans="1:6" ht="14.45" x14ac:dyDescent="0.35">
      <c r="E13" t="s">
        <v>15</v>
      </c>
      <c r="F13">
        <f>100*10</f>
        <v>1000</v>
      </c>
    </row>
    <row r="15" spans="1:6" ht="18.600000000000001" x14ac:dyDescent="0.45">
      <c r="D15" s="5" t="s">
        <v>14</v>
      </c>
      <c r="E15" s="5"/>
      <c r="F15" s="4">
        <f>(((F13+5*C11-50*((C9+C10)/2))/(100-((C9+C10)/2))))</f>
        <v>23.970810266733771</v>
      </c>
    </row>
    <row r="16" spans="1:6" ht="18.600000000000001" x14ac:dyDescent="0.45">
      <c r="D16" s="5" t="s">
        <v>16</v>
      </c>
      <c r="E16" s="5"/>
      <c r="F16" s="4">
        <f>((F13+5*D11-50*((D9+D10)/2))/(100-((D9+D10)/2)))</f>
        <v>17.636454682023036</v>
      </c>
    </row>
  </sheetData>
  <mergeCells count="2">
    <mergeCell ref="D16:E16"/>
    <mergeCell ref="D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7" sqref="E17"/>
    </sheetView>
  </sheetViews>
  <sheetFormatPr defaultRowHeight="15" x14ac:dyDescent="0.25"/>
  <cols>
    <col min="3" max="3" width="20.7109375" bestFit="1" customWidth="1"/>
    <col min="5" max="5" width="10.85546875" customWidth="1"/>
  </cols>
  <sheetData>
    <row r="1" spans="1:6" ht="27" customHeight="1" x14ac:dyDescent="0.25">
      <c r="A1" t="s">
        <v>0</v>
      </c>
      <c r="B1" t="s">
        <v>1</v>
      </c>
      <c r="C1" t="s">
        <v>17</v>
      </c>
      <c r="D1" t="s">
        <v>18</v>
      </c>
    </row>
    <row r="2" spans="1:6" x14ac:dyDescent="0.25">
      <c r="A2">
        <v>1</v>
      </c>
      <c r="B2" t="s">
        <v>12</v>
      </c>
      <c r="C2">
        <v>100</v>
      </c>
      <c r="D2">
        <v>93.8</v>
      </c>
    </row>
    <row r="3" spans="1:6" x14ac:dyDescent="0.25">
      <c r="A3">
        <v>2</v>
      </c>
      <c r="B3" t="s">
        <v>4</v>
      </c>
      <c r="C3">
        <v>93</v>
      </c>
      <c r="D3">
        <v>43.4</v>
      </c>
    </row>
    <row r="4" spans="1:6" x14ac:dyDescent="0.25">
      <c r="A4">
        <v>3</v>
      </c>
      <c r="B4" t="s">
        <v>5</v>
      </c>
      <c r="C4">
        <v>61.5</v>
      </c>
      <c r="D4">
        <v>11.2</v>
      </c>
    </row>
    <row r="5" spans="1:6" x14ac:dyDescent="0.25">
      <c r="A5">
        <v>4</v>
      </c>
      <c r="B5" t="s">
        <v>6</v>
      </c>
      <c r="C5">
        <v>20.6</v>
      </c>
      <c r="D5">
        <v>3.4</v>
      </c>
    </row>
    <row r="6" spans="1:6" x14ac:dyDescent="0.25">
      <c r="A6">
        <v>5</v>
      </c>
      <c r="B6" t="s">
        <v>7</v>
      </c>
      <c r="C6">
        <v>5.3</v>
      </c>
      <c r="D6">
        <v>1</v>
      </c>
    </row>
    <row r="7" spans="1:6" x14ac:dyDescent="0.25">
      <c r="A7">
        <v>6</v>
      </c>
      <c r="B7" t="s">
        <v>8</v>
      </c>
      <c r="C7">
        <v>1.4</v>
      </c>
      <c r="D7">
        <v>0.6</v>
      </c>
    </row>
    <row r="8" spans="1:6" x14ac:dyDescent="0.25">
      <c r="A8">
        <v>7</v>
      </c>
      <c r="B8" t="s">
        <v>9</v>
      </c>
      <c r="C8">
        <v>1</v>
      </c>
      <c r="D8">
        <v>0.3</v>
      </c>
    </row>
    <row r="9" spans="1:6" x14ac:dyDescent="0.25">
      <c r="A9">
        <v>8</v>
      </c>
      <c r="B9" t="s">
        <v>10</v>
      </c>
      <c r="C9">
        <v>1.1000000000000001</v>
      </c>
      <c r="D9">
        <v>0.2</v>
      </c>
    </row>
    <row r="10" spans="1:6" x14ac:dyDescent="0.25">
      <c r="A10">
        <v>9</v>
      </c>
      <c r="B10" t="s">
        <v>11</v>
      </c>
      <c r="C10">
        <v>0.2</v>
      </c>
      <c r="D10">
        <v>0.1</v>
      </c>
    </row>
    <row r="11" spans="1:6" x14ac:dyDescent="0.25">
      <c r="B11" t="s">
        <v>13</v>
      </c>
      <c r="C11">
        <f>SUM(C2:C8)</f>
        <v>282.8</v>
      </c>
      <c r="D11">
        <f>SUM(D2:D8)</f>
        <v>153.69999999999999</v>
      </c>
    </row>
    <row r="12" spans="1:6" x14ac:dyDescent="0.25">
      <c r="B12" t="s">
        <v>19</v>
      </c>
      <c r="C12">
        <f>0.5*(C9+C10)</f>
        <v>0.65</v>
      </c>
      <c r="D12">
        <f>0.5*(D9+D10)</f>
        <v>0.15000000000000002</v>
      </c>
    </row>
    <row r="13" spans="1:6" ht="14.45" x14ac:dyDescent="0.35">
      <c r="E13" t="s">
        <v>15</v>
      </c>
      <c r="F13">
        <f>100*10</f>
        <v>1000</v>
      </c>
    </row>
    <row r="15" spans="1:6" ht="14.45" x14ac:dyDescent="0.35">
      <c r="D15" t="s">
        <v>14</v>
      </c>
      <c r="E15">
        <f>(F13+5*C11-50*C12)/(100-C12)</f>
        <v>23.970810266733771</v>
      </c>
    </row>
    <row r="16" spans="1:6" ht="14.45" x14ac:dyDescent="0.35">
      <c r="D16" t="s">
        <v>16</v>
      </c>
      <c r="E16">
        <f>(F13+5*D11-50*D12)/(100-D12)</f>
        <v>17.636454682023036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Windows for Docker</cp:lastModifiedBy>
  <dcterms:created xsi:type="dcterms:W3CDTF">2024-10-16T15:15:18Z</dcterms:created>
  <dcterms:modified xsi:type="dcterms:W3CDTF">2026-09-13T08:49:54Z</dcterms:modified>
</cp:coreProperties>
</file>