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140" windowHeight="10140"/>
  </bookViews>
  <sheets>
    <sheet name="Sheet1" sheetId="1" r:id="rId1"/>
    <sheet name="Sheet2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3" i="1"/>
  <c r="H22" i="1"/>
  <c r="P4" i="1"/>
  <c r="P21" i="1"/>
  <c r="P22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3" i="1"/>
  <c r="F2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3" i="1"/>
  <c r="F3" i="1"/>
  <c r="M5" i="1"/>
  <c r="M6" i="1"/>
  <c r="N6" i="1" s="1"/>
  <c r="M7" i="1" s="1"/>
  <c r="M4" i="1"/>
  <c r="N4" i="1"/>
  <c r="N5" i="1"/>
  <c r="N3" i="1"/>
  <c r="E3" i="1"/>
  <c r="N7" i="1" l="1"/>
  <c r="M8" i="1" s="1"/>
  <c r="D4" i="1"/>
  <c r="N8" i="1" l="1"/>
  <c r="M9" i="1" s="1"/>
  <c r="E4" i="1"/>
  <c r="F4" i="1" s="1"/>
  <c r="N9" i="1" l="1"/>
  <c r="M10" i="1" s="1"/>
  <c r="D5" i="1"/>
  <c r="N10" i="1" l="1"/>
  <c r="M11" i="1" s="1"/>
  <c r="E5" i="1"/>
  <c r="F5" i="1" s="1"/>
  <c r="N11" i="1" l="1"/>
  <c r="M12" i="1"/>
  <c r="D6" i="1"/>
  <c r="N12" i="1" l="1"/>
  <c r="M13" i="1" s="1"/>
  <c r="E6" i="1"/>
  <c r="F6" i="1" s="1"/>
  <c r="N13" i="1" l="1"/>
  <c r="M14" i="1"/>
  <c r="D7" i="1"/>
  <c r="N14" i="1" l="1"/>
  <c r="M15" i="1"/>
  <c r="E7" i="1"/>
  <c r="D8" i="1" s="1"/>
  <c r="F7" i="1"/>
  <c r="N15" i="1" l="1"/>
  <c r="M16" i="1" s="1"/>
  <c r="E8" i="1"/>
  <c r="F8" i="1" s="1"/>
  <c r="N16" i="1" l="1"/>
  <c r="M17" i="1" s="1"/>
  <c r="D9" i="1"/>
  <c r="N17" i="1" l="1"/>
  <c r="M18" i="1"/>
  <c r="E9" i="1"/>
  <c r="F9" i="1"/>
  <c r="D10" i="1"/>
  <c r="N18" i="1" l="1"/>
  <c r="M19" i="1"/>
  <c r="F10" i="1"/>
  <c r="E10" i="1"/>
  <c r="D11" i="1" s="1"/>
  <c r="N19" i="1" l="1"/>
  <c r="M20" i="1" s="1"/>
  <c r="E11" i="1"/>
  <c r="D12" i="1" s="1"/>
  <c r="N20" i="1" l="1"/>
  <c r="M21" i="1" s="1"/>
  <c r="F11" i="1"/>
  <c r="E12" i="1"/>
  <c r="D13" i="1" s="1"/>
  <c r="N21" i="1" l="1"/>
  <c r="M22" i="1"/>
  <c r="N22" i="1" s="1"/>
  <c r="E13" i="1"/>
  <c r="D14" i="1" s="1"/>
  <c r="F12" i="1"/>
  <c r="E14" i="1" l="1"/>
  <c r="D15" i="1" s="1"/>
  <c r="F13" i="1"/>
  <c r="F15" i="1" l="1"/>
  <c r="E15" i="1"/>
  <c r="D16" i="1" s="1"/>
  <c r="F14" i="1"/>
  <c r="E16" i="1" l="1"/>
  <c r="D17" i="1" s="1"/>
  <c r="E17" i="1" l="1"/>
  <c r="D18" i="1" s="1"/>
  <c r="F16" i="1"/>
  <c r="F18" i="1" l="1"/>
  <c r="D19" i="1"/>
  <c r="E18" i="1"/>
  <c r="F17" i="1"/>
  <c r="E19" i="1" l="1"/>
  <c r="D20" i="1" s="1"/>
  <c r="F19" i="1" l="1"/>
  <c r="E20" i="1"/>
  <c r="D21" i="1" s="1"/>
  <c r="F20" i="1" l="1"/>
  <c r="E21" i="1"/>
  <c r="D22" i="1" s="1"/>
  <c r="E22" i="1" l="1"/>
  <c r="F21" i="1"/>
  <c r="G22" i="1" l="1"/>
  <c r="G4" i="1"/>
  <c r="H4" i="1" s="1"/>
  <c r="G3" i="1"/>
  <c r="H3" i="1" s="1"/>
  <c r="G5" i="1"/>
  <c r="H5" i="1" s="1"/>
  <c r="G6" i="1"/>
  <c r="H6" i="1" s="1"/>
  <c r="G7" i="1"/>
  <c r="H7" i="1" s="1"/>
  <c r="G10" i="1"/>
  <c r="H10" i="1" s="1"/>
  <c r="G9" i="1"/>
  <c r="H9" i="1" s="1"/>
  <c r="G8" i="1"/>
  <c r="H8" i="1" s="1"/>
  <c r="G12" i="1"/>
  <c r="H12" i="1" s="1"/>
  <c r="G15" i="1"/>
  <c r="H15" i="1" s="1"/>
  <c r="G13" i="1"/>
  <c r="H13" i="1" s="1"/>
  <c r="G11" i="1"/>
  <c r="H11" i="1" s="1"/>
  <c r="G14" i="1"/>
  <c r="H14" i="1" s="1"/>
  <c r="G20" i="1"/>
  <c r="H20" i="1" s="1"/>
  <c r="G21" i="1"/>
  <c r="H21" i="1" s="1"/>
  <c r="G16" i="1"/>
  <c r="H16" i="1" s="1"/>
  <c r="G19" i="1"/>
  <c r="H19" i="1" s="1"/>
  <c r="G17" i="1"/>
  <c r="H17" i="1" s="1"/>
  <c r="G18" i="1"/>
  <c r="H18" i="1" s="1"/>
</calcChain>
</file>

<file path=xl/sharedStrings.xml><?xml version="1.0" encoding="utf-8"?>
<sst xmlns="http://schemas.openxmlformats.org/spreadsheetml/2006/main" count="59" uniqueCount="37">
  <si>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</si>
  <si>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</si>
  <si>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</si>
  <si>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</si>
  <si>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</si>
  <si>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</si>
  <si>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</si>
  <si>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</si>
  <si>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</si>
  <si>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</si>
  <si>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</si>
  <si>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</si>
  <si>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</si>
  <si>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5-9</t>
  </si>
  <si>
    <t>10-14</t>
  </si>
  <si>
    <t>Age(x)</t>
  </si>
  <si>
    <t>d(x)</t>
  </si>
  <si>
    <t>l(x)</t>
  </si>
  <si>
    <t>q(x)</t>
  </si>
  <si>
    <t>L(x)</t>
  </si>
  <si>
    <t>T(x)</t>
  </si>
  <si>
    <r>
      <t>e</t>
    </r>
    <r>
      <rPr>
        <b/>
        <vertAlign val="subscript"/>
        <sz val="11"/>
        <color theme="1"/>
        <rFont val="Calibri"/>
        <family val="2"/>
        <scheme val="minor"/>
      </rPr>
      <t>x</t>
    </r>
  </si>
  <si>
    <t>Division</t>
  </si>
  <si>
    <t>In-migration</t>
  </si>
  <si>
    <t>Out-migration</t>
  </si>
  <si>
    <t>Total Population</t>
  </si>
  <si>
    <t>In-migration Rate (per 1000)</t>
  </si>
  <si>
    <t>Out-migration Rate (per 1000)</t>
  </si>
  <si>
    <t>Net Migration</t>
  </si>
  <si>
    <t>Net Migration Rate (per 1000)</t>
  </si>
  <si>
    <t>Gross Migration</t>
  </si>
  <si>
    <t>Gross Migration Rate (per 1000)</t>
  </si>
  <si>
    <t>Effectiveness Ratio (%)</t>
  </si>
  <si>
    <t>Chittagong</t>
  </si>
  <si>
    <t>Dhaka</t>
  </si>
  <si>
    <t>Khulna</t>
  </si>
  <si>
    <t>Rajshahi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</si>
</sst>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 wrapText="1"/>
    </xf>
    <xf numFmtId="1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2"/>
  <sheetViews>
    <sheetView tabSelected="1" workbookViewId="0">
      <selection activeCell="J4" sqref="J4"/>
    </sheetView>
  </sheetViews>
  <sheetFormatPr defaultRowHeight="15" x14ac:dyDescent="0.25"/>
  <cols>
    <col min="2" max="2" width="8.7109375" style="2"/>
    <col min="5" max="5" width="11.42578125" bestFit="1" customWidth="1"/>
  </cols>
  <sheetData>
    <row r="2" spans="2:17" s="6" customFormat="1" ht="18" x14ac:dyDescent="0.35">
      <c r="B2" s="5" t="s">
        <v>15</v>
      </c>
      <c r="C2" s="6" t="s">
        <v>18</v>
      </c>
      <c r="D2" s="6" t="s">
        <v>17</v>
      </c>
      <c r="E2" s="6" t="s">
        <v>16</v>
      </c>
      <c r="F2" s="6" t="s">
        <v>19</v>
      </c>
      <c r="G2" s="6" t="s">
        <v>20</v>
      </c>
      <c r="H2" s="6" t="s">
        <v>21</v>
      </c>
      <c r="K2" s="5" t="s">
        <v>15</v>
      </c>
      <c r="L2" s="6" t="s">
        <v>18</v>
      </c>
      <c r="M2" s="6" t="s">
        <v>17</v>
      </c>
      <c r="N2" s="6" t="s">
        <v>16</v>
      </c>
      <c r="O2" s="6" t="s">
        <v>19</v>
      </c>
      <c r="P2" s="6" t="s">
        <v>20</v>
      </c>
      <c r="Q2" s="6" t="s">
        <v>21</v>
      </c>
    </row>
    <row r="3" spans="2:17" ht="15.75" x14ac:dyDescent="0.25">
      <c r="B3" s="3">
        <v>0</v>
      </c>
      <c r="C3" s="1">
        <v>0.08</v>
      </c>
      <c r="D3">
        <v>100000</v>
      </c>
      <c r="E3">
        <f>D3*C3</f>
        <v>8000</v>
      </c>
      <c r="F3">
        <f>D3-(E3/2)</f>
        <v>96000</v>
      </c>
      <c r="G3">
        <f>SUM(F3:F$22)</f>
        <v>1499231.6843386162</v>
      </c>
      <c r="H3">
        <f>G3/D3</f>
        <v>14.992316843386162</v>
      </c>
      <c r="K3" s="3">
        <v>0</v>
      </c>
      <c r="L3" s="1">
        <v>0.08</v>
      </c>
      <c r="M3" s="4">
        <v>100000</v>
      </c>
      <c r="N3" s="4">
        <f>L3*M3</f>
        <v>8000</v>
      </c>
      <c r="O3">
        <f>(M3+M4)/2</f>
        <v>96000</v>
      </c>
      <c r="P3">
        <f>SUM(O3:O22)</f>
        <v>1499231.6843386162</v>
      </c>
      <c r="Q3">
        <f>P3/M3</f>
        <v>14.992316843386162</v>
      </c>
    </row>
    <row r="4" spans="2:17" ht="15.75" x14ac:dyDescent="0.25">
      <c r="B4" s="3">
        <v>1</v>
      </c>
      <c r="C4" s="1">
        <v>1.4E-2</v>
      </c>
      <c r="D4">
        <f>D3-E3</f>
        <v>92000</v>
      </c>
      <c r="E4">
        <f t="shared" ref="E4:E22" si="0">D4*C4</f>
        <v>1288</v>
      </c>
      <c r="F4">
        <f t="shared" ref="F4:F22" si="1">D4-(E4/2)</f>
        <v>91356</v>
      </c>
      <c r="G4">
        <f>SUM(F4:F$22)</f>
        <v>1403231.6843386162</v>
      </c>
      <c r="H4">
        <f t="shared" ref="H4:H22" si="2">G4/D4</f>
        <v>15.252518308028437</v>
      </c>
      <c r="K4" s="3">
        <v>1</v>
      </c>
      <c r="L4" s="1">
        <v>1.4E-2</v>
      </c>
      <c r="M4" s="4">
        <f>M3-N3</f>
        <v>92000</v>
      </c>
      <c r="N4" s="4">
        <f>L4*M4</f>
        <v>1288</v>
      </c>
      <c r="O4">
        <f t="shared" ref="O4:O22" si="3">(M4+M5)/2</f>
        <v>91356</v>
      </c>
      <c r="P4">
        <f>SUM(O4:O23)</f>
        <v>1403231.6843386162</v>
      </c>
      <c r="Q4">
        <f t="shared" ref="Q4:Q22" si="4">P4/M4</f>
        <v>15.252518308028437</v>
      </c>
    </row>
    <row r="5" spans="2:17" ht="15.75" x14ac:dyDescent="0.25">
      <c r="B5" s="3">
        <v>2</v>
      </c>
      <c r="C5" s="1">
        <v>1.2999999999999999E-2</v>
      </c>
      <c r="D5">
        <f>D4-E4</f>
        <v>90712</v>
      </c>
      <c r="E5" s="4">
        <f t="shared" si="0"/>
        <v>1179.2559999999999</v>
      </c>
      <c r="F5">
        <f t="shared" si="1"/>
        <v>90122.372000000003</v>
      </c>
      <c r="G5">
        <f>SUM(F5:F$22)</f>
        <v>1311875.6843386162</v>
      </c>
      <c r="H5">
        <f t="shared" si="2"/>
        <v>14.461986113619105</v>
      </c>
      <c r="K5" s="3">
        <v>2</v>
      </c>
      <c r="L5" s="1">
        <v>1.2999999999999999E-2</v>
      </c>
      <c r="M5" s="4">
        <f t="shared" ref="M5:M22" si="5">M4-N4</f>
        <v>90712</v>
      </c>
      <c r="N5" s="4">
        <f t="shared" ref="N4:N22" si="6">L5*M5</f>
        <v>1179.2559999999999</v>
      </c>
      <c r="O5">
        <f t="shared" si="3"/>
        <v>90122.372000000003</v>
      </c>
      <c r="P5">
        <f t="shared" ref="P4:P22" si="7">SUM(O5:O24)</f>
        <v>1311875.6843386162</v>
      </c>
      <c r="Q5">
        <f t="shared" si="4"/>
        <v>14.461986113619105</v>
      </c>
    </row>
    <row r="6" spans="2:17" ht="15.75" x14ac:dyDescent="0.25">
      <c r="B6" s="3">
        <v>3</v>
      </c>
      <c r="C6" s="1">
        <v>1.2E-2</v>
      </c>
      <c r="D6" s="4">
        <f>D5-E5</f>
        <v>89532.744000000006</v>
      </c>
      <c r="E6" s="4">
        <f t="shared" si="0"/>
        <v>1074.392928</v>
      </c>
      <c r="F6">
        <f t="shared" si="1"/>
        <v>88995.547536000013</v>
      </c>
      <c r="G6">
        <f>SUM(F6:F$22)</f>
        <v>1221753.3123386162</v>
      </c>
      <c r="H6">
        <f t="shared" si="2"/>
        <v>13.645882587253398</v>
      </c>
      <c r="K6" s="3">
        <v>3</v>
      </c>
      <c r="L6" s="1">
        <v>1.2E-2</v>
      </c>
      <c r="M6" s="4">
        <f t="shared" si="5"/>
        <v>89532.744000000006</v>
      </c>
      <c r="N6" s="4">
        <f t="shared" si="6"/>
        <v>1074.392928</v>
      </c>
      <c r="O6">
        <f t="shared" si="3"/>
        <v>88995.547535999998</v>
      </c>
      <c r="P6">
        <f t="shared" si="7"/>
        <v>1221753.3123386162</v>
      </c>
      <c r="Q6">
        <f t="shared" si="4"/>
        <v>13.645882587253398</v>
      </c>
    </row>
    <row r="7" spans="2:17" ht="15.75" x14ac:dyDescent="0.25">
      <c r="B7" s="3">
        <v>4</v>
      </c>
      <c r="C7" s="1">
        <v>1.0999999999999999E-2</v>
      </c>
      <c r="D7" s="4">
        <f>D6-E6</f>
        <v>88458.351072000005</v>
      </c>
      <c r="E7" s="4">
        <f t="shared" si="0"/>
        <v>973.04186179199996</v>
      </c>
      <c r="F7">
        <f t="shared" si="1"/>
        <v>87971.830141104001</v>
      </c>
      <c r="G7">
        <f>SUM(F7:F$22)</f>
        <v>1132757.7648026161</v>
      </c>
      <c r="H7">
        <f t="shared" si="2"/>
        <v>12.80554917738198</v>
      </c>
      <c r="K7" s="3">
        <v>4</v>
      </c>
      <c r="L7" s="1">
        <v>1.0999999999999999E-2</v>
      </c>
      <c r="M7" s="4">
        <f t="shared" si="5"/>
        <v>88458.351072000005</v>
      </c>
      <c r="N7" s="4">
        <f t="shared" si="6"/>
        <v>973.04186179199996</v>
      </c>
      <c r="O7">
        <f t="shared" si="3"/>
        <v>87971.830141104001</v>
      </c>
      <c r="P7">
        <f t="shared" si="7"/>
        <v>1132757.7648026161</v>
      </c>
      <c r="Q7">
        <f t="shared" si="4"/>
        <v>12.80554917738198</v>
      </c>
    </row>
    <row r="8" spans="2:17" ht="15.75" x14ac:dyDescent="0.25">
      <c r="B8" s="3" t="s">
        <v>13</v>
      </c>
      <c r="C8" s="1">
        <v>1.7999999999999999E-2</v>
      </c>
      <c r="D8" s="4">
        <f>D7-E7</f>
        <v>87485.309210208012</v>
      </c>
      <c r="E8" s="4">
        <f t="shared" si="0"/>
        <v>1574.7355657837441</v>
      </c>
      <c r="F8">
        <f t="shared" si="1"/>
        <v>86697.941427316138</v>
      </c>
      <c r="G8">
        <f>SUM(F8:F$22)</f>
        <v>1044785.934661512</v>
      </c>
      <c r="H8">
        <f t="shared" si="2"/>
        <v>11.942415750639007</v>
      </c>
      <c r="K8" s="3" t="s">
        <v>13</v>
      </c>
      <c r="L8" s="1">
        <v>1.7999999999999999E-2</v>
      </c>
      <c r="M8" s="4">
        <f t="shared" si="5"/>
        <v>87485.309210208012</v>
      </c>
      <c r="N8" s="4">
        <f t="shared" si="6"/>
        <v>1574.7355657837441</v>
      </c>
      <c r="O8">
        <f t="shared" si="3"/>
        <v>86697.941427316138</v>
      </c>
      <c r="P8">
        <f t="shared" si="7"/>
        <v>1044785.934661512</v>
      </c>
      <c r="Q8">
        <f t="shared" si="4"/>
        <v>11.942415750639007</v>
      </c>
    </row>
    <row r="9" spans="2:17" ht="15.75" x14ac:dyDescent="0.25">
      <c r="B9" s="3" t="s">
        <v>14</v>
      </c>
      <c r="C9" s="1">
        <v>6.0000000000000001E-3</v>
      </c>
      <c r="D9" s="4">
        <f t="shared" ref="D9:D22" si="8">D8-E8</f>
        <v>85910.573644424265</v>
      </c>
      <c r="E9" s="4">
        <f t="shared" si="0"/>
        <v>515.46344186654562</v>
      </c>
      <c r="F9">
        <f t="shared" si="1"/>
        <v>85652.841923490996</v>
      </c>
      <c r="G9">
        <f>SUM(F9:F$22)</f>
        <v>958087.99323419598</v>
      </c>
      <c r="H9">
        <f t="shared" si="2"/>
        <v>11.152154532218951</v>
      </c>
      <c r="K9" s="3" t="s">
        <v>14</v>
      </c>
      <c r="L9" s="1">
        <v>6.0000000000000001E-3</v>
      </c>
      <c r="M9" s="4">
        <f t="shared" si="5"/>
        <v>85910.573644424265</v>
      </c>
      <c r="N9" s="4">
        <f t="shared" si="6"/>
        <v>515.46344186654562</v>
      </c>
      <c r="O9">
        <f t="shared" si="3"/>
        <v>85652.841923490982</v>
      </c>
      <c r="P9">
        <f t="shared" si="7"/>
        <v>958087.99323419598</v>
      </c>
      <c r="Q9">
        <f t="shared" si="4"/>
        <v>11.152154532218951</v>
      </c>
    </row>
    <row r="10" spans="2:17" ht="15.75" x14ac:dyDescent="0.25">
      <c r="B10" s="3" t="s">
        <v>0</v>
      </c>
      <c r="C10" s="1">
        <v>8.9999999999999993E-3</v>
      </c>
      <c r="D10" s="4">
        <f t="shared" si="8"/>
        <v>85395.110202557713</v>
      </c>
      <c r="E10" s="4">
        <f t="shared" si="0"/>
        <v>768.55599182301933</v>
      </c>
      <c r="F10">
        <f t="shared" si="1"/>
        <v>85010.832206646199</v>
      </c>
      <c r="G10">
        <f>SUM(F10:F$22)</f>
        <v>872435.15131070488</v>
      </c>
      <c r="H10">
        <f t="shared" si="2"/>
        <v>10.216453251729327</v>
      </c>
      <c r="K10" s="3" t="s">
        <v>0</v>
      </c>
      <c r="L10" s="1">
        <v>8.9999999999999993E-3</v>
      </c>
      <c r="M10" s="4">
        <f t="shared" si="5"/>
        <v>85395.110202557713</v>
      </c>
      <c r="N10" s="4">
        <f t="shared" si="6"/>
        <v>768.55599182301933</v>
      </c>
      <c r="O10">
        <f t="shared" si="3"/>
        <v>85010.832206646213</v>
      </c>
      <c r="P10">
        <f t="shared" si="7"/>
        <v>872435.15131070488</v>
      </c>
      <c r="Q10">
        <f t="shared" si="4"/>
        <v>10.216453251729327</v>
      </c>
    </row>
    <row r="11" spans="2:17" ht="15.75" x14ac:dyDescent="0.25">
      <c r="B11" s="3" t="s">
        <v>1</v>
      </c>
      <c r="C11" s="1">
        <v>0.01</v>
      </c>
      <c r="D11" s="4">
        <f t="shared" si="8"/>
        <v>84626.554210734699</v>
      </c>
      <c r="E11" s="4">
        <f t="shared" si="0"/>
        <v>846.26554210734696</v>
      </c>
      <c r="F11">
        <f t="shared" si="1"/>
        <v>84203.421439681028</v>
      </c>
      <c r="G11">
        <f>SUM(F11:F$22)</f>
        <v>787424.31910405867</v>
      </c>
      <c r="H11">
        <f t="shared" si="2"/>
        <v>9.3046955113313068</v>
      </c>
      <c r="K11" s="3" t="s">
        <v>1</v>
      </c>
      <c r="L11" s="1">
        <v>0.01</v>
      </c>
      <c r="M11" s="4">
        <f t="shared" si="5"/>
        <v>84626.554210734699</v>
      </c>
      <c r="N11" s="4">
        <f t="shared" si="6"/>
        <v>846.26554210734696</v>
      </c>
      <c r="O11">
        <f t="shared" si="3"/>
        <v>84203.421439681028</v>
      </c>
      <c r="P11">
        <f t="shared" si="7"/>
        <v>787424.31910405867</v>
      </c>
      <c r="Q11">
        <f t="shared" si="4"/>
        <v>9.3046955113313068</v>
      </c>
    </row>
    <row r="12" spans="2:17" ht="15.75" x14ac:dyDescent="0.25">
      <c r="B12" s="3" t="s">
        <v>2</v>
      </c>
      <c r="C12" s="1">
        <v>1.4E-2</v>
      </c>
      <c r="D12" s="4">
        <f t="shared" si="8"/>
        <v>83780.288668627356</v>
      </c>
      <c r="E12" s="4">
        <f t="shared" si="0"/>
        <v>1172.9240413607829</v>
      </c>
      <c r="F12">
        <f t="shared" si="1"/>
        <v>83193.82664794696</v>
      </c>
      <c r="G12">
        <f>SUM(F12:F$22)</f>
        <v>703220.8976643777</v>
      </c>
      <c r="H12">
        <f t="shared" si="2"/>
        <v>8.3936318296275836</v>
      </c>
      <c r="K12" s="3" t="s">
        <v>2</v>
      </c>
      <c r="L12" s="1">
        <v>1.4E-2</v>
      </c>
      <c r="M12" s="4">
        <f t="shared" si="5"/>
        <v>83780.288668627356</v>
      </c>
      <c r="N12" s="4">
        <f t="shared" si="6"/>
        <v>1172.9240413607829</v>
      </c>
      <c r="O12">
        <f t="shared" si="3"/>
        <v>83193.82664794696</v>
      </c>
      <c r="P12">
        <f t="shared" si="7"/>
        <v>703220.8976643777</v>
      </c>
      <c r="Q12">
        <f t="shared" si="4"/>
        <v>8.3936318296275836</v>
      </c>
    </row>
    <row r="13" spans="2:17" ht="15.75" x14ac:dyDescent="0.25">
      <c r="B13" s="3" t="s">
        <v>3</v>
      </c>
      <c r="C13" s="1">
        <v>1.0999999999999999E-2</v>
      </c>
      <c r="D13" s="4">
        <f t="shared" si="8"/>
        <v>82607.364627266579</v>
      </c>
      <c r="E13" s="4">
        <f t="shared" si="0"/>
        <v>908.68101089993229</v>
      </c>
      <c r="F13">
        <f t="shared" si="1"/>
        <v>82153.024121816619</v>
      </c>
      <c r="G13">
        <f>SUM(F13:F$22)</f>
        <v>620027.07101643085</v>
      </c>
      <c r="H13">
        <f t="shared" si="2"/>
        <v>7.5057117947541423</v>
      </c>
      <c r="K13" s="3" t="s">
        <v>3</v>
      </c>
      <c r="L13" s="1">
        <v>1.0999999999999999E-2</v>
      </c>
      <c r="M13" s="4">
        <f t="shared" si="5"/>
        <v>82607.364627266579</v>
      </c>
      <c r="N13" s="4">
        <f t="shared" si="6"/>
        <v>908.68101089993229</v>
      </c>
      <c r="O13">
        <f t="shared" si="3"/>
        <v>82153.024121816619</v>
      </c>
      <c r="P13">
        <f t="shared" si="7"/>
        <v>620027.07101643085</v>
      </c>
      <c r="Q13">
        <f t="shared" si="4"/>
        <v>7.5057117947541423</v>
      </c>
    </row>
    <row r="14" spans="2:17" ht="15.75" x14ac:dyDescent="0.25">
      <c r="B14" s="3" t="s">
        <v>4</v>
      </c>
      <c r="C14" s="1">
        <v>2.1000000000000001E-2</v>
      </c>
      <c r="D14" s="4">
        <f t="shared" si="8"/>
        <v>81698.683616366645</v>
      </c>
      <c r="E14" s="4">
        <f t="shared" si="0"/>
        <v>1715.6723559436996</v>
      </c>
      <c r="F14">
        <f t="shared" si="1"/>
        <v>80840.847438394791</v>
      </c>
      <c r="G14">
        <f>SUM(F14:F$22)</f>
        <v>537874.04689461424</v>
      </c>
      <c r="H14">
        <f t="shared" si="2"/>
        <v>6.5836317439374543</v>
      </c>
      <c r="K14" s="3" t="s">
        <v>4</v>
      </c>
      <c r="L14" s="1">
        <v>2.1000000000000001E-2</v>
      </c>
      <c r="M14" s="4">
        <f t="shared" si="5"/>
        <v>81698.683616366645</v>
      </c>
      <c r="N14" s="4">
        <f t="shared" si="6"/>
        <v>1715.6723559436996</v>
      </c>
      <c r="O14">
        <f t="shared" si="3"/>
        <v>80840.847438394791</v>
      </c>
      <c r="P14">
        <f t="shared" si="7"/>
        <v>537874.04689461424</v>
      </c>
      <c r="Q14">
        <f t="shared" si="4"/>
        <v>6.5836317439374543</v>
      </c>
    </row>
    <row r="15" spans="2:17" ht="15.75" x14ac:dyDescent="0.25">
      <c r="B15" s="3" t="s">
        <v>5</v>
      </c>
      <c r="C15" s="1">
        <v>3.1E-2</v>
      </c>
      <c r="D15" s="4">
        <f t="shared" si="8"/>
        <v>79983.011260422951</v>
      </c>
      <c r="E15" s="4">
        <f t="shared" si="0"/>
        <v>2479.4733490731114</v>
      </c>
      <c r="F15">
        <f t="shared" si="1"/>
        <v>78743.274585886393</v>
      </c>
      <c r="G15">
        <f>SUM(F15:F$22)</f>
        <v>457033.19945621944</v>
      </c>
      <c r="H15">
        <f t="shared" si="2"/>
        <v>5.7141284412027105</v>
      </c>
      <c r="K15" s="3" t="s">
        <v>5</v>
      </c>
      <c r="L15" s="1">
        <v>3.1E-2</v>
      </c>
      <c r="M15" s="4">
        <f t="shared" si="5"/>
        <v>79983.011260422951</v>
      </c>
      <c r="N15" s="4">
        <f t="shared" si="6"/>
        <v>2479.4733490731114</v>
      </c>
      <c r="O15">
        <f t="shared" si="3"/>
        <v>78743.274585886393</v>
      </c>
      <c r="P15">
        <f t="shared" si="7"/>
        <v>457033.19945621944</v>
      </c>
      <c r="Q15">
        <f t="shared" si="4"/>
        <v>5.7141284412027105</v>
      </c>
    </row>
    <row r="16" spans="2:17" ht="15.75" x14ac:dyDescent="0.25">
      <c r="B16" s="3" t="s">
        <v>6</v>
      </c>
      <c r="C16" s="1">
        <v>5.0999999999999997E-2</v>
      </c>
      <c r="D16" s="4">
        <f t="shared" si="8"/>
        <v>77503.537911349835</v>
      </c>
      <c r="E16" s="4">
        <f t="shared" si="0"/>
        <v>3952.6804334788412</v>
      </c>
      <c r="F16">
        <f t="shared" si="1"/>
        <v>75527.197694610411</v>
      </c>
      <c r="G16">
        <f>SUM(F16:F$22)</f>
        <v>378289.92487033311</v>
      </c>
      <c r="H16">
        <f t="shared" si="2"/>
        <v>4.8809375038211682</v>
      </c>
      <c r="K16" s="3" t="s">
        <v>6</v>
      </c>
      <c r="L16" s="1">
        <v>5.0999999999999997E-2</v>
      </c>
      <c r="M16" s="4">
        <f t="shared" si="5"/>
        <v>77503.537911349835</v>
      </c>
      <c r="N16" s="4">
        <f t="shared" si="6"/>
        <v>3952.6804334788412</v>
      </c>
      <c r="O16">
        <f t="shared" si="3"/>
        <v>75527.197694610411</v>
      </c>
      <c r="P16">
        <f t="shared" si="7"/>
        <v>378289.92487033311</v>
      </c>
      <c r="Q16">
        <f t="shared" si="4"/>
        <v>4.8809375038211682</v>
      </c>
    </row>
    <row r="17" spans="2:17" ht="15.75" x14ac:dyDescent="0.25">
      <c r="B17" s="3" t="s">
        <v>7</v>
      </c>
      <c r="C17" s="1">
        <v>5.8999999999999997E-2</v>
      </c>
      <c r="D17" s="4">
        <f t="shared" si="8"/>
        <v>73550.857477870988</v>
      </c>
      <c r="E17" s="4">
        <f t="shared" si="0"/>
        <v>4339.5005911943881</v>
      </c>
      <c r="F17">
        <f t="shared" si="1"/>
        <v>71381.107182273787</v>
      </c>
      <c r="G17">
        <f>SUM(F17:F$22)</f>
        <v>302762.72717572266</v>
      </c>
      <c r="H17">
        <f t="shared" si="2"/>
        <v>4.1163725013921679</v>
      </c>
      <c r="K17" s="3" t="s">
        <v>7</v>
      </c>
      <c r="L17" s="1">
        <v>5.8999999999999997E-2</v>
      </c>
      <c r="M17" s="4">
        <f t="shared" si="5"/>
        <v>73550.857477870988</v>
      </c>
      <c r="N17" s="4">
        <f t="shared" si="6"/>
        <v>4339.5005911943881</v>
      </c>
      <c r="O17">
        <f t="shared" si="3"/>
        <v>71381.107182273787</v>
      </c>
      <c r="P17">
        <f t="shared" si="7"/>
        <v>302762.72717572266</v>
      </c>
      <c r="Q17">
        <f t="shared" si="4"/>
        <v>4.1163725013921679</v>
      </c>
    </row>
    <row r="18" spans="2:17" ht="15.75" x14ac:dyDescent="0.25">
      <c r="B18" s="3" t="s">
        <v>8</v>
      </c>
      <c r="C18" s="1">
        <v>8.8999999999999996E-2</v>
      </c>
      <c r="D18" s="4">
        <f t="shared" si="8"/>
        <v>69211.3568866766</v>
      </c>
      <c r="E18" s="4">
        <f t="shared" si="0"/>
        <v>6159.8107629142169</v>
      </c>
      <c r="F18">
        <f t="shared" si="1"/>
        <v>66131.451505219491</v>
      </c>
      <c r="G18">
        <f>SUM(F18:F$22)</f>
        <v>231381.61999344884</v>
      </c>
      <c r="H18">
        <f t="shared" si="2"/>
        <v>3.3431163670479997</v>
      </c>
      <c r="K18" s="3" t="s">
        <v>8</v>
      </c>
      <c r="L18" s="1">
        <v>8.8999999999999996E-2</v>
      </c>
      <c r="M18" s="4">
        <f t="shared" si="5"/>
        <v>69211.3568866766</v>
      </c>
      <c r="N18" s="4">
        <f t="shared" si="6"/>
        <v>6159.8107629142169</v>
      </c>
      <c r="O18">
        <f t="shared" si="3"/>
        <v>66131.451505219491</v>
      </c>
      <c r="P18">
        <f t="shared" si="7"/>
        <v>231381.6199934489</v>
      </c>
      <c r="Q18">
        <f t="shared" si="4"/>
        <v>3.3431163670480006</v>
      </c>
    </row>
    <row r="19" spans="2:17" ht="15.75" x14ac:dyDescent="0.25">
      <c r="B19" s="3" t="s">
        <v>9</v>
      </c>
      <c r="C19" s="1">
        <v>0.11700000000000001</v>
      </c>
      <c r="D19" s="4">
        <f t="shared" si="8"/>
        <v>63051.546123762382</v>
      </c>
      <c r="E19" s="4">
        <f t="shared" si="0"/>
        <v>7377.0308964801989</v>
      </c>
      <c r="F19">
        <f t="shared" si="1"/>
        <v>59363.030675522285</v>
      </c>
      <c r="G19">
        <f>SUM(F19:F$22)</f>
        <v>165250.16848822939</v>
      </c>
      <c r="H19">
        <f t="shared" si="2"/>
        <v>2.6208741680000007</v>
      </c>
      <c r="K19" s="3" t="s">
        <v>9</v>
      </c>
      <c r="L19" s="1">
        <v>0.11700000000000001</v>
      </c>
      <c r="M19" s="4">
        <f t="shared" si="5"/>
        <v>63051.546123762382</v>
      </c>
      <c r="N19" s="4">
        <f t="shared" si="6"/>
        <v>7377.0308964801989</v>
      </c>
      <c r="O19">
        <f t="shared" si="3"/>
        <v>59363.030675522285</v>
      </c>
      <c r="P19">
        <f t="shared" si="7"/>
        <v>165250.16848822939</v>
      </c>
      <c r="Q19">
        <f t="shared" si="4"/>
        <v>2.6208741680000007</v>
      </c>
    </row>
    <row r="20" spans="2:17" ht="15.75" x14ac:dyDescent="0.25">
      <c r="B20" s="3" t="s">
        <v>10</v>
      </c>
      <c r="C20" s="1">
        <v>0.19800000000000001</v>
      </c>
      <c r="D20" s="4">
        <f t="shared" si="8"/>
        <v>55674.515227282187</v>
      </c>
      <c r="E20" s="4">
        <f t="shared" si="0"/>
        <v>11023.554015001873</v>
      </c>
      <c r="F20">
        <f t="shared" si="1"/>
        <v>50162.738219781248</v>
      </c>
      <c r="G20">
        <f>SUM(F20:F$22)</f>
        <v>105887.13781270708</v>
      </c>
      <c r="H20">
        <f t="shared" si="2"/>
        <v>1.901896</v>
      </c>
      <c r="K20" s="3" t="s">
        <v>10</v>
      </c>
      <c r="L20" s="1">
        <v>0.19800000000000001</v>
      </c>
      <c r="M20" s="4">
        <f t="shared" si="5"/>
        <v>55674.515227282187</v>
      </c>
      <c r="N20" s="4">
        <f t="shared" si="6"/>
        <v>11023.554015001873</v>
      </c>
      <c r="O20">
        <f t="shared" si="3"/>
        <v>50162.738219781255</v>
      </c>
      <c r="P20">
        <f t="shared" si="7"/>
        <v>105887.13781270708</v>
      </c>
      <c r="Q20">
        <f t="shared" si="4"/>
        <v>1.901896</v>
      </c>
    </row>
    <row r="21" spans="2:17" ht="15.75" x14ac:dyDescent="0.25">
      <c r="B21" s="3" t="s">
        <v>11</v>
      </c>
      <c r="C21" s="1">
        <v>0.252</v>
      </c>
      <c r="D21" s="4">
        <f t="shared" si="8"/>
        <v>44650.961212280316</v>
      </c>
      <c r="E21" s="4">
        <f t="shared" si="0"/>
        <v>11252.042225494639</v>
      </c>
      <c r="F21">
        <f t="shared" si="1"/>
        <v>39024.940099532992</v>
      </c>
      <c r="G21">
        <f>SUM(F21:F$22)</f>
        <v>55724.399592925831</v>
      </c>
      <c r="H21">
        <f t="shared" si="2"/>
        <v>1.248</v>
      </c>
      <c r="K21" s="3" t="s">
        <v>11</v>
      </c>
      <c r="L21" s="1">
        <v>0.252</v>
      </c>
      <c r="M21" s="4">
        <f t="shared" si="5"/>
        <v>44650.961212280316</v>
      </c>
      <c r="N21" s="4">
        <f t="shared" si="6"/>
        <v>11252.042225494639</v>
      </c>
      <c r="O21">
        <f t="shared" si="3"/>
        <v>39024.940099532992</v>
      </c>
      <c r="P21">
        <f t="shared" si="7"/>
        <v>55724.399592925831</v>
      </c>
      <c r="Q21">
        <f t="shared" si="4"/>
        <v>1.248</v>
      </c>
    </row>
    <row r="22" spans="2:17" ht="15.75" x14ac:dyDescent="0.25">
      <c r="B22" s="3" t="s">
        <v>12</v>
      </c>
      <c r="C22" s="1">
        <v>1</v>
      </c>
      <c r="D22" s="4">
        <f t="shared" si="8"/>
        <v>33398.918986785677</v>
      </c>
      <c r="E22" s="4">
        <f t="shared" si="0"/>
        <v>33398.918986785677</v>
      </c>
      <c r="F22">
        <f>D22-(E22/2)</f>
        <v>16699.459493392838</v>
      </c>
      <c r="G22">
        <f>SUM(F22:F$22)</f>
        <v>16699.459493392838</v>
      </c>
      <c r="H22">
        <f>G22/D22</f>
        <v>0.5</v>
      </c>
      <c r="K22" s="3" t="s">
        <v>12</v>
      </c>
      <c r="L22" s="1">
        <v>1</v>
      </c>
      <c r="M22" s="4">
        <f t="shared" si="5"/>
        <v>33398.918986785677</v>
      </c>
      <c r="N22" s="4">
        <f t="shared" si="6"/>
        <v>33398.918986785677</v>
      </c>
      <c r="O22">
        <f t="shared" si="3"/>
        <v>16699.459493392838</v>
      </c>
      <c r="P22">
        <f t="shared" si="7"/>
        <v>16699.459493392838</v>
      </c>
      <c r="Q22">
        <f t="shared" si="4"/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L13" sqref="L13"/>
    </sheetView>
  </sheetViews>
  <sheetFormatPr defaultRowHeight="15" x14ac:dyDescent="0.25"/>
  <cols>
    <col min="3" max="3" width="13.5703125" customWidth="1"/>
    <col min="4" max="4" width="10.85546875" customWidth="1"/>
    <col min="5" max="5" width="14.85546875" customWidth="1"/>
    <col min="6" max="6" width="15.42578125" customWidth="1"/>
    <col min="7" max="7" width="15" customWidth="1"/>
    <col min="8" max="8" width="14" customWidth="1"/>
    <col min="9" max="9" width="13" customWidth="1"/>
    <col min="10" max="10" width="12" customWidth="1"/>
    <col min="11" max="11" width="10.85546875" customWidth="1"/>
  </cols>
  <sheetData>
    <row r="1" spans="1:11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 x14ac:dyDescent="0.35">
      <c r="A2" t="s">
        <v>33</v>
      </c>
      <c r="B2">
        <v>432585</v>
      </c>
      <c r="C2">
        <v>167988</v>
      </c>
      <c r="D2">
        <v>18531963</v>
      </c>
      <c r="E2">
        <v>23.34</v>
      </c>
      <c r="F2">
        <v>9.06</v>
      </c>
      <c r="G2">
        <v>264597</v>
      </c>
      <c r="H2">
        <v>14.28</v>
      </c>
      <c r="I2">
        <v>600573</v>
      </c>
      <c r="J2">
        <v>32.409999999999997</v>
      </c>
      <c r="K2">
        <v>44.06</v>
      </c>
    </row>
    <row r="3" spans="1:11" x14ac:dyDescent="0.35">
      <c r="A3" t="s">
        <v>34</v>
      </c>
      <c r="B3">
        <v>329486</v>
      </c>
      <c r="C3">
        <v>489928</v>
      </c>
      <c r="D3">
        <v>21209828</v>
      </c>
      <c r="E3">
        <v>15.53</v>
      </c>
      <c r="F3">
        <v>23.1</v>
      </c>
      <c r="G3">
        <v>-160442</v>
      </c>
      <c r="H3">
        <v>-7.56</v>
      </c>
      <c r="I3">
        <v>819414</v>
      </c>
      <c r="J3">
        <v>38.630000000000003</v>
      </c>
      <c r="K3">
        <v>-19.579999999999998</v>
      </c>
    </row>
    <row r="4" spans="1:11" x14ac:dyDescent="0.35">
      <c r="A4" t="s">
        <v>35</v>
      </c>
      <c r="B4">
        <v>160648</v>
      </c>
      <c r="C4">
        <v>124107</v>
      </c>
      <c r="D4">
        <v>13843633</v>
      </c>
      <c r="E4">
        <v>11.6</v>
      </c>
      <c r="F4">
        <v>8.9600000000000009</v>
      </c>
      <c r="G4">
        <v>36541</v>
      </c>
      <c r="H4">
        <v>2.64</v>
      </c>
      <c r="I4">
        <v>284755</v>
      </c>
      <c r="J4">
        <v>20.57</v>
      </c>
      <c r="K4">
        <v>12.83</v>
      </c>
    </row>
    <row r="5" spans="1:11" x14ac:dyDescent="0.35">
      <c r="A5" t="s">
        <v>36</v>
      </c>
      <c r="B5">
        <v>110282</v>
      </c>
      <c r="C5">
        <v>250978</v>
      </c>
      <c r="D5">
        <v>17012103</v>
      </c>
      <c r="E5">
        <v>6.48</v>
      </c>
      <c r="F5">
        <v>14.75</v>
      </c>
      <c r="G5">
        <v>-140696</v>
      </c>
      <c r="H5">
        <v>-8.27</v>
      </c>
      <c r="I5">
        <v>361260</v>
      </c>
      <c r="J5">
        <v>21.24</v>
      </c>
      <c r="K5">
        <v>-38.950000000000003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Windows for Docker</cp:lastModifiedBy>
  <dcterms:created xsi:type="dcterms:W3CDTF">2024-10-16T16:39:16Z</dcterms:created>
  <dcterms:modified xsi:type="dcterms:W3CDTF">2026-09-13T10:22:24Z</dcterms:modified>
</cp:coreProperties>
</file>