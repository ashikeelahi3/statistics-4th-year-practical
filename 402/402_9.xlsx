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4th year\411(practical by Anika)\Session 2 (402)\"/>
    </mc:Choice>
  </mc:AlternateContent>
  <xr:revisionPtr revIDLastSave="0" documentId="13_ncr:1_{1E34AB13-1AA6-495E-8EBF-9892F349B2E8}" xr6:coauthVersionLast="47" xr6:coauthVersionMax="47" xr10:uidLastSave="{00000000-0000-0000-0000-000000000000}"/>
  <bookViews>
    <workbookView xWindow="11430" yWindow="0" windowWidth="7860" windowHeight="10890" xr2:uid="{181DBD4B-47A7-4FF9-830E-CFF9F6357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0" i="1"/>
  <c r="G4" i="1"/>
  <c r="G5" i="1"/>
  <c r="G6" i="1"/>
  <c r="G7" i="1"/>
  <c r="G8" i="1"/>
  <c r="G9" i="1"/>
  <c r="G3" i="1"/>
  <c r="F4" i="1"/>
  <c r="F5" i="1"/>
  <c r="F6" i="1"/>
  <c r="F7" i="1"/>
  <c r="F8" i="1"/>
  <c r="F9" i="1"/>
  <c r="F3" i="1"/>
  <c r="F14" i="1"/>
  <c r="E10" i="1"/>
  <c r="D10" i="1"/>
  <c r="G10" i="1" l="1"/>
  <c r="F16" i="1" s="1"/>
</calcChain>
</file>

<file path=xl/sharedStrings.xml><?xml version="1.0" encoding="utf-8"?>
<sst xmlns="http://schemas.openxmlformats.org/spreadsheetml/2006/main" count="17" uniqueCount="17">
  <si>
    <t>15-19</t>
  </si>
  <si>
    <t>20-24</t>
  </si>
  <si>
    <t>25-29</t>
  </si>
  <si>
    <t>30-34</t>
  </si>
  <si>
    <t>35-39</t>
  </si>
  <si>
    <t>40-44</t>
  </si>
  <si>
    <t>45-49</t>
  </si>
  <si>
    <t>Age</t>
  </si>
  <si>
    <t>ASFR f(x)</t>
  </si>
  <si>
    <t>p(x)</t>
  </si>
  <si>
    <t>Total</t>
  </si>
  <si>
    <t>GRR</t>
  </si>
  <si>
    <t>NRR</t>
  </si>
  <si>
    <t>f(x).p(x)</t>
  </si>
  <si>
    <t>x.f(x).p(x)</t>
  </si>
  <si>
    <t>x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</si>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</sst>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2299-0D94-45FA-A27C-F51192DCD9E6}">
  <dimension ref="B2:G16"/>
  <sheetViews>
    <sheetView tabSelected="1" workbookViewId="0">
      <selection activeCell="B15" sqref="B15"/>
    </sheetView>
  </sheetViews>
  <sheetFormatPr defaultRowHeight="14.5" x14ac:dyDescent="0.35"/>
  <sheetData>
    <row r="2" spans="2:7" s="2" customFormat="1" x14ac:dyDescent="0.35">
      <c r="B2" s="2" t="s">
        <v>7</v>
      </c>
      <c r="C2" s="2" t="s">
        <v>15</v>
      </c>
      <c r="D2" s="2" t="s">
        <v>8</v>
      </c>
      <c r="E2" s="2" t="s">
        <v>9</v>
      </c>
      <c r="F2" s="2" t="s">
        <v>13</v>
      </c>
      <c r="G2" s="2" t="s">
        <v>14</v>
      </c>
    </row>
    <row r="3" spans="2:7" ht="15.5" x14ac:dyDescent="0.35">
      <c r="B3" s="1" t="s">
        <v>0</v>
      </c>
      <c r="C3" s="1">
        <v>17.5</v>
      </c>
      <c r="D3" s="1">
        <v>6.3E-2</v>
      </c>
      <c r="E3" s="1">
        <v>0.78800000000000003</v>
      </c>
      <c r="F3">
        <f>D3*E3</f>
        <v>4.9644000000000001E-2</v>
      </c>
      <c r="G3">
        <f>C3*F3</f>
        <v>0.86877000000000004</v>
      </c>
    </row>
    <row r="4" spans="2:7" ht="15.5" x14ac:dyDescent="0.35">
      <c r="B4" s="1" t="s">
        <v>1</v>
      </c>
      <c r="C4" s="1">
        <v>22.5</v>
      </c>
      <c r="D4" s="1">
        <v>0.13200000000000001</v>
      </c>
      <c r="E4" s="1">
        <v>0.77800000000000002</v>
      </c>
      <c r="F4">
        <f t="shared" ref="F4:F9" si="0">D4*E4</f>
        <v>0.10269600000000001</v>
      </c>
      <c r="G4">
        <f t="shared" ref="G4:G9" si="1">C4*F4</f>
        <v>2.3106600000000004</v>
      </c>
    </row>
    <row r="5" spans="2:7" ht="15.5" x14ac:dyDescent="0.35">
      <c r="B5" s="1" t="s">
        <v>2</v>
      </c>
      <c r="C5" s="1">
        <v>27.5</v>
      </c>
      <c r="D5" s="1">
        <v>0.128</v>
      </c>
      <c r="E5" s="1">
        <v>0.748</v>
      </c>
      <c r="F5">
        <f t="shared" si="0"/>
        <v>9.5743999999999996E-2</v>
      </c>
      <c r="G5">
        <f t="shared" si="1"/>
        <v>2.6329599999999997</v>
      </c>
    </row>
    <row r="6" spans="2:7" ht="15.5" x14ac:dyDescent="0.35">
      <c r="B6" s="1" t="s">
        <v>3</v>
      </c>
      <c r="C6" s="1">
        <v>32.5</v>
      </c>
      <c r="D6" s="1">
        <v>0.11</v>
      </c>
      <c r="E6" s="1">
        <v>0.72299999999999998</v>
      </c>
      <c r="F6">
        <f t="shared" si="0"/>
        <v>7.9530000000000003E-2</v>
      </c>
      <c r="G6">
        <f t="shared" si="1"/>
        <v>2.5847250000000002</v>
      </c>
    </row>
    <row r="7" spans="2:7" ht="15.5" x14ac:dyDescent="0.35">
      <c r="B7" s="1" t="s">
        <v>4</v>
      </c>
      <c r="C7" s="1">
        <v>37.5</v>
      </c>
      <c r="D7" s="1">
        <v>0.08</v>
      </c>
      <c r="E7" s="1">
        <v>0.69799999999999995</v>
      </c>
      <c r="F7">
        <f t="shared" si="0"/>
        <v>5.5840000000000001E-2</v>
      </c>
      <c r="G7">
        <f t="shared" si="1"/>
        <v>2.0939999999999999</v>
      </c>
    </row>
    <row r="8" spans="2:7" ht="15.5" x14ac:dyDescent="0.35">
      <c r="B8" s="1" t="s">
        <v>5</v>
      </c>
      <c r="C8" s="1">
        <v>42.5</v>
      </c>
      <c r="D8" s="1">
        <v>4.4999999999999998E-2</v>
      </c>
      <c r="E8" s="1">
        <v>0.66800000000000004</v>
      </c>
      <c r="F8">
        <f t="shared" si="0"/>
        <v>3.006E-2</v>
      </c>
      <c r="G8">
        <f t="shared" si="1"/>
        <v>1.27755</v>
      </c>
    </row>
    <row r="9" spans="2:7" ht="15.5" x14ac:dyDescent="0.35">
      <c r="B9" s="1" t="s">
        <v>6</v>
      </c>
      <c r="C9" s="1">
        <v>47.5</v>
      </c>
      <c r="D9" s="1">
        <v>7.0000000000000001E-3</v>
      </c>
      <c r="E9" s="1">
        <v>0.63500000000000001</v>
      </c>
      <c r="F9">
        <f t="shared" si="0"/>
        <v>4.4450000000000002E-3</v>
      </c>
      <c r="G9">
        <f t="shared" si="1"/>
        <v>0.21113750000000001</v>
      </c>
    </row>
    <row r="10" spans="2:7" s="2" customFormat="1" ht="15" x14ac:dyDescent="0.35">
      <c r="B10" s="3" t="s">
        <v>10</v>
      </c>
      <c r="C10" s="3"/>
      <c r="D10" s="2">
        <f>SUM(D3:D9)</f>
        <v>0.56500000000000006</v>
      </c>
      <c r="E10" s="2">
        <f>SUM(E3:E9)</f>
        <v>5.0379999999999994</v>
      </c>
      <c r="F10" s="2">
        <f t="shared" ref="F10:G10" si="2">SUM(F3:F9)</f>
        <v>0.41795899999999997</v>
      </c>
      <c r="G10" s="2">
        <f t="shared" si="2"/>
        <v>11.9798025</v>
      </c>
    </row>
    <row r="14" spans="2:7" ht="18.5" x14ac:dyDescent="0.45">
      <c r="E14" s="4" t="s">
        <v>11</v>
      </c>
      <c r="F14" s="4">
        <f>5*D10</f>
        <v>2.8250000000000002</v>
      </c>
    </row>
    <row r="15" spans="2:7" ht="18.5" x14ac:dyDescent="0.45">
      <c r="E15" s="4" t="s">
        <v>12</v>
      </c>
      <c r="F15" s="4">
        <f>5*F10</f>
        <v>2.0897949999999996</v>
      </c>
    </row>
    <row r="16" spans="2:7" ht="18.5" x14ac:dyDescent="0.45">
      <c r="E16" s="4" t="s">
        <v>16</v>
      </c>
      <c r="F16" s="4">
        <f>(5*G10)/(5*F10)</f>
        <v>28.662625999200884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Anika Sarkar</cp:lastModifiedBy>
  <dcterms:created xsi:type="dcterms:W3CDTF">2024-10-16T15:54:18Z</dcterms:created>
  <dcterms:modified xsi:type="dcterms:W3CDTF">2024-10-18T17:08:03Z</dcterms:modified>
</cp:coreProperties>
</file>