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4th year\411(practical by Anika)\Session 2 (402)\"/>
    </mc:Choice>
  </mc:AlternateContent>
  <xr:revisionPtr revIDLastSave="0" documentId="13_ncr:1_{563B21EF-21D6-4378-96FE-248D88CB572B}" xr6:coauthVersionLast="47" xr6:coauthVersionMax="47" xr10:uidLastSave="{00000000-0000-0000-0000-000000000000}"/>
  <bookViews>
    <workbookView xWindow="-90" yWindow="0" windowWidth="11700" windowHeight="10890" xr2:uid="{5B66C14C-A1AD-435E-A4D0-96A99FB9F6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1" l="1"/>
  <c r="I24" i="1"/>
  <c r="I23" i="1"/>
  <c r="I18" i="1"/>
  <c r="I7" i="1"/>
  <c r="I8" i="1"/>
  <c r="I9" i="1"/>
  <c r="I10" i="1"/>
  <c r="I11" i="1"/>
  <c r="I12" i="1"/>
  <c r="I6" i="1"/>
  <c r="H18" i="1"/>
  <c r="H7" i="1"/>
  <c r="H8" i="1"/>
  <c r="H9" i="1"/>
  <c r="H10" i="1"/>
  <c r="H11" i="1"/>
  <c r="H12" i="1"/>
  <c r="I22" i="1"/>
  <c r="F23" i="1"/>
  <c r="F22" i="1"/>
  <c r="F18" i="1"/>
  <c r="G18" i="1"/>
  <c r="C18" i="1"/>
  <c r="D18" i="1"/>
  <c r="E18" i="1"/>
  <c r="B18" i="1"/>
</calcChain>
</file>

<file path=xl/sharedStrings.xml><?xml version="1.0" encoding="utf-8"?>
<sst xmlns="http://schemas.openxmlformats.org/spreadsheetml/2006/main" count="46" uniqueCount="31">
  <si>
    <t>Age</t>
  </si>
  <si>
    <t>Male</t>
  </si>
  <si>
    <t>Female</t>
  </si>
  <si>
    <t>Birth</t>
  </si>
  <si>
    <t>Population</t>
  </si>
  <si>
    <t>Death</t>
  </si>
  <si>
    <t xml:space="preserve">Male </t>
  </si>
  <si>
    <t>0-4</t>
  </si>
  <si>
    <t>-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</si>
  <si>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</si>
  <si>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</si>
  <si>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</si>
  <si>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</si>
  <si>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</si>
  <si>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</si>
  <si>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</si>
  <si>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</si>
  <si>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</si>
  <si>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</si>
  <si>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</si>
  <si>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70+</t>
  </si>
  <si>
    <t>Total</t>
  </si>
  <si>
    <t>CDR(Male)</t>
  </si>
  <si>
    <t>CDR(Female)</t>
  </si>
  <si>
    <t>GFR</t>
  </si>
  <si>
    <t>ASFR</t>
  </si>
  <si>
    <t>TFR</t>
  </si>
  <si>
    <t>GRR</t>
  </si>
  <si>
    <t>ASFR(Female)</t>
  </si>
  <si>
    <t>(a)</t>
  </si>
  <si>
    <t>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</si>
</sst>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2"/>
      <color rgb="FFC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69A64-6B54-4BD5-84CC-D5B3FEAD8863}">
  <dimension ref="A1:I24"/>
  <sheetViews>
    <sheetView tabSelected="1" topLeftCell="C1" workbookViewId="0">
      <selection activeCell="I24" sqref="I24"/>
    </sheetView>
  </sheetViews>
  <sheetFormatPr defaultRowHeight="14.5" x14ac:dyDescent="0.35"/>
  <cols>
    <col min="2" max="2" width="11.36328125" customWidth="1"/>
    <col min="3" max="3" width="8.36328125" customWidth="1"/>
    <col min="4" max="4" width="12.36328125" customWidth="1"/>
    <col min="5" max="5" width="14.90625" bestFit="1" customWidth="1"/>
    <col min="9" max="9" width="15.1796875" customWidth="1"/>
  </cols>
  <sheetData>
    <row r="1" spans="1:9" ht="15" x14ac:dyDescent="0.35">
      <c r="A1" s="8" t="s">
        <v>0</v>
      </c>
      <c r="B1" s="9" t="s">
        <v>1</v>
      </c>
      <c r="C1" s="9"/>
      <c r="D1" s="9" t="s">
        <v>2</v>
      </c>
      <c r="E1" s="9"/>
      <c r="F1" s="9" t="s">
        <v>3</v>
      </c>
      <c r="G1" s="9"/>
    </row>
    <row r="2" spans="1:9" ht="15" x14ac:dyDescent="0.35">
      <c r="A2" s="8"/>
      <c r="B2" s="1" t="s">
        <v>4</v>
      </c>
      <c r="C2" s="1" t="s">
        <v>5</v>
      </c>
      <c r="D2" s="1" t="s">
        <v>4</v>
      </c>
      <c r="E2" s="1" t="s">
        <v>5</v>
      </c>
      <c r="F2" s="1" t="s">
        <v>6</v>
      </c>
      <c r="G2" s="1" t="s">
        <v>2</v>
      </c>
      <c r="H2" s="7" t="s">
        <v>25</v>
      </c>
      <c r="I2" s="1" t="s">
        <v>28</v>
      </c>
    </row>
    <row r="3" spans="1:9" ht="15.5" x14ac:dyDescent="0.35">
      <c r="A3" s="3" t="s">
        <v>7</v>
      </c>
      <c r="B3" s="3">
        <v>442532</v>
      </c>
      <c r="C3" s="3">
        <v>18623</v>
      </c>
      <c r="D3" s="3">
        <v>434980</v>
      </c>
      <c r="E3" s="3">
        <v>17308</v>
      </c>
      <c r="F3" s="3"/>
      <c r="G3" s="3" t="s">
        <v>8</v>
      </c>
    </row>
    <row r="4" spans="1:9" ht="15.5" x14ac:dyDescent="0.35">
      <c r="A4" s="4">
        <v>45421</v>
      </c>
      <c r="B4" s="3">
        <v>419042</v>
      </c>
      <c r="C4" s="3">
        <v>1809</v>
      </c>
      <c r="D4" s="3">
        <v>416736</v>
      </c>
      <c r="E4" s="3">
        <v>1709</v>
      </c>
      <c r="F4" s="3"/>
      <c r="G4" s="3" t="s">
        <v>8</v>
      </c>
    </row>
    <row r="5" spans="1:9" ht="15.5" x14ac:dyDescent="0.35">
      <c r="A5" s="4">
        <v>45579</v>
      </c>
      <c r="B5" s="3">
        <v>393543</v>
      </c>
      <c r="C5" s="3">
        <v>948</v>
      </c>
      <c r="D5" s="3">
        <v>384616</v>
      </c>
      <c r="E5" s="3">
        <v>1638</v>
      </c>
      <c r="F5" s="3"/>
      <c r="G5" s="3" t="s">
        <v>8</v>
      </c>
    </row>
    <row r="6" spans="1:9" ht="15.5" x14ac:dyDescent="0.35">
      <c r="A6" s="3" t="s">
        <v>9</v>
      </c>
      <c r="B6" s="3">
        <v>308269</v>
      </c>
      <c r="C6" s="3">
        <v>1233</v>
      </c>
      <c r="D6" s="3">
        <v>314056</v>
      </c>
      <c r="E6" s="3">
        <v>1329</v>
      </c>
      <c r="F6" s="3">
        <v>3578</v>
      </c>
      <c r="G6" s="3">
        <v>3343</v>
      </c>
      <c r="H6" s="5">
        <f>(F6+G6)/D6</f>
        <v>2.2037471024275924E-2</v>
      </c>
      <c r="I6">
        <f>G6/D6</f>
        <v>1.0644598415569197E-2</v>
      </c>
    </row>
    <row r="7" spans="1:9" ht="15.5" x14ac:dyDescent="0.35">
      <c r="A7" s="3" t="s">
        <v>10</v>
      </c>
      <c r="B7" s="3">
        <v>257852</v>
      </c>
      <c r="C7" s="3">
        <v>1289</v>
      </c>
      <c r="D7" s="3">
        <v>269340</v>
      </c>
      <c r="E7" s="3">
        <v>1481</v>
      </c>
      <c r="F7" s="3">
        <v>7293</v>
      </c>
      <c r="G7" s="3">
        <v>6690</v>
      </c>
      <c r="H7" s="5">
        <f t="shared" ref="H7:H12" si="0">(F7+G7)/D7</f>
        <v>5.1915794163510803E-2</v>
      </c>
      <c r="I7">
        <f t="shared" ref="I7:I12" si="1">G7/D7</f>
        <v>2.4838494096680774E-2</v>
      </c>
    </row>
    <row r="8" spans="1:9" ht="15.5" x14ac:dyDescent="0.35">
      <c r="A8" s="3" t="s">
        <v>11</v>
      </c>
      <c r="B8" s="3">
        <v>230629</v>
      </c>
      <c r="C8" s="3">
        <v>1776</v>
      </c>
      <c r="D8" s="3">
        <v>236187</v>
      </c>
      <c r="E8" s="3">
        <v>1671</v>
      </c>
      <c r="F8" s="3">
        <v>6775</v>
      </c>
      <c r="G8" s="3">
        <v>6361</v>
      </c>
      <c r="H8" s="5">
        <f t="shared" si="0"/>
        <v>5.5616947588139905E-2</v>
      </c>
      <c r="I8">
        <f t="shared" si="1"/>
        <v>2.6932049604762327E-2</v>
      </c>
    </row>
    <row r="9" spans="1:9" ht="15.5" x14ac:dyDescent="0.35">
      <c r="A9" s="3" t="s">
        <v>12</v>
      </c>
      <c r="B9" s="3">
        <v>204188</v>
      </c>
      <c r="C9" s="3">
        <v>1633</v>
      </c>
      <c r="D9" s="3">
        <v>203477</v>
      </c>
      <c r="E9" s="3">
        <v>1665</v>
      </c>
      <c r="F9" s="3">
        <v>4233</v>
      </c>
      <c r="G9" s="3">
        <v>4187</v>
      </c>
      <c r="H9" s="5">
        <f t="shared" si="0"/>
        <v>4.1380598298579201E-2</v>
      </c>
      <c r="I9">
        <f t="shared" si="1"/>
        <v>2.0577264260825547E-2</v>
      </c>
    </row>
    <row r="10" spans="1:9" ht="15.5" x14ac:dyDescent="0.35">
      <c r="A10" s="3" t="s">
        <v>13</v>
      </c>
      <c r="B10" s="3">
        <v>182270</v>
      </c>
      <c r="C10" s="3">
        <v>1588</v>
      </c>
      <c r="D10" s="3">
        <v>176534</v>
      </c>
      <c r="E10" s="3">
        <v>1289</v>
      </c>
      <c r="F10" s="3">
        <v>2999</v>
      </c>
      <c r="G10" s="3">
        <v>2685</v>
      </c>
      <c r="H10" s="5">
        <f t="shared" si="0"/>
        <v>3.2197763603611769E-2</v>
      </c>
      <c r="I10">
        <f t="shared" si="1"/>
        <v>1.5209534707195214E-2</v>
      </c>
    </row>
    <row r="11" spans="1:9" ht="15.5" x14ac:dyDescent="0.35">
      <c r="A11" s="3" t="s">
        <v>14</v>
      </c>
      <c r="B11" s="3">
        <v>162509</v>
      </c>
      <c r="C11" s="3">
        <v>1967</v>
      </c>
      <c r="D11" s="3">
        <v>145037</v>
      </c>
      <c r="E11" s="3">
        <v>1233</v>
      </c>
      <c r="F11" s="3">
        <v>593</v>
      </c>
      <c r="G11" s="3">
        <v>725</v>
      </c>
      <c r="H11" s="5">
        <f t="shared" si="0"/>
        <v>9.087336334866275E-3</v>
      </c>
      <c r="I11">
        <f t="shared" si="1"/>
        <v>4.9987244634127842E-3</v>
      </c>
    </row>
    <row r="12" spans="1:9" ht="15.5" x14ac:dyDescent="0.35">
      <c r="A12" s="3" t="s">
        <v>15</v>
      </c>
      <c r="B12" s="3">
        <v>128784</v>
      </c>
      <c r="C12" s="3">
        <v>2138</v>
      </c>
      <c r="D12" s="3">
        <v>122946</v>
      </c>
      <c r="E12" s="3">
        <v>1352</v>
      </c>
      <c r="F12" s="3">
        <v>129</v>
      </c>
      <c r="G12" s="3">
        <v>128</v>
      </c>
      <c r="H12" s="5">
        <f t="shared" si="0"/>
        <v>2.0903486083321131E-3</v>
      </c>
      <c r="I12">
        <f t="shared" si="1"/>
        <v>1.0411074780798074E-3</v>
      </c>
    </row>
    <row r="13" spans="1:9" ht="15.5" x14ac:dyDescent="0.35">
      <c r="A13" s="3" t="s">
        <v>16</v>
      </c>
      <c r="B13" s="3">
        <v>102971</v>
      </c>
      <c r="C13" s="3">
        <v>1905</v>
      </c>
      <c r="D13" s="3">
        <v>96589</v>
      </c>
      <c r="E13" s="3">
        <v>1188</v>
      </c>
      <c r="F13" s="3" t="s">
        <v>8</v>
      </c>
      <c r="G13" s="3" t="s">
        <v>8</v>
      </c>
    </row>
    <row r="14" spans="1:9" ht="15.5" x14ac:dyDescent="0.35">
      <c r="A14" s="3" t="s">
        <v>17</v>
      </c>
      <c r="B14" s="3">
        <v>80717</v>
      </c>
      <c r="C14" s="3">
        <v>2478</v>
      </c>
      <c r="D14" s="3">
        <v>78311</v>
      </c>
      <c r="E14" s="3">
        <v>1605</v>
      </c>
      <c r="F14" s="3" t="s">
        <v>8</v>
      </c>
      <c r="G14" s="3" t="s">
        <v>8</v>
      </c>
    </row>
    <row r="15" spans="1:9" ht="15.5" x14ac:dyDescent="0.35">
      <c r="A15" s="3" t="s">
        <v>18</v>
      </c>
      <c r="B15" s="3">
        <v>58899</v>
      </c>
      <c r="C15" s="3">
        <v>3099</v>
      </c>
      <c r="D15" s="3">
        <v>58142</v>
      </c>
      <c r="E15" s="3">
        <v>1980</v>
      </c>
      <c r="F15" s="3" t="s">
        <v>8</v>
      </c>
      <c r="G15" s="3" t="s">
        <v>8</v>
      </c>
    </row>
    <row r="16" spans="1:9" ht="15.5" x14ac:dyDescent="0.35">
      <c r="A16" s="3" t="s">
        <v>19</v>
      </c>
      <c r="B16" s="3">
        <v>37797</v>
      </c>
      <c r="C16" s="3">
        <v>2428</v>
      </c>
      <c r="D16" s="3">
        <v>39049</v>
      </c>
      <c r="E16" s="3">
        <v>2468</v>
      </c>
      <c r="F16" s="3" t="s">
        <v>8</v>
      </c>
      <c r="G16" s="3" t="s">
        <v>8</v>
      </c>
    </row>
    <row r="17" spans="1:9" ht="15.5" x14ac:dyDescent="0.35">
      <c r="A17" s="3" t="s">
        <v>20</v>
      </c>
      <c r="B17" s="3">
        <v>45099</v>
      </c>
      <c r="C17" s="3">
        <v>5981</v>
      </c>
      <c r="D17" s="3">
        <v>48866</v>
      </c>
      <c r="E17" s="3">
        <v>7175</v>
      </c>
      <c r="F17" s="3" t="s">
        <v>8</v>
      </c>
      <c r="G17" s="3" t="s">
        <v>8</v>
      </c>
    </row>
    <row r="18" spans="1:9" ht="15" x14ac:dyDescent="0.35">
      <c r="A18" s="2" t="s">
        <v>21</v>
      </c>
      <c r="B18" s="2">
        <f>SUM(B3:B17)</f>
        <v>3055101</v>
      </c>
      <c r="C18" s="2">
        <f t="shared" ref="C18:E18" si="2">SUM(C3:C17)</f>
        <v>48895</v>
      </c>
      <c r="D18" s="2">
        <f t="shared" si="2"/>
        <v>3024866</v>
      </c>
      <c r="E18" s="2">
        <f t="shared" si="2"/>
        <v>45091</v>
      </c>
      <c r="F18" s="2">
        <f>SUM(F3:F17)</f>
        <v>25600</v>
      </c>
      <c r="G18" s="2">
        <f t="shared" ref="G18:I18" si="3">SUM(G3:G17)</f>
        <v>24119</v>
      </c>
      <c r="H18" s="2">
        <f t="shared" si="3"/>
        <v>0.21432625962131599</v>
      </c>
      <c r="I18" s="2">
        <f t="shared" si="3"/>
        <v>0.10424177302652565</v>
      </c>
    </row>
    <row r="21" spans="1:9" x14ac:dyDescent="0.35">
      <c r="E21" s="5" t="s">
        <v>29</v>
      </c>
      <c r="H21" s="5" t="s">
        <v>30</v>
      </c>
    </row>
    <row r="22" spans="1:9" ht="18.5" x14ac:dyDescent="0.45">
      <c r="E22" s="6" t="s">
        <v>22</v>
      </c>
      <c r="F22" s="6">
        <f>(C18/B18)*1000</f>
        <v>16.004380869895957</v>
      </c>
      <c r="H22" s="6" t="s">
        <v>24</v>
      </c>
      <c r="I22" s="6">
        <f>((F18+G18)/(SUM(D6:D12)))*1000</f>
        <v>33.878290542847154</v>
      </c>
    </row>
    <row r="23" spans="1:9" ht="18.5" x14ac:dyDescent="0.45">
      <c r="E23" s="6" t="s">
        <v>23</v>
      </c>
      <c r="F23" s="6">
        <f>(E18/D18)*1000</f>
        <v>14.906776035698773</v>
      </c>
      <c r="H23" s="6" t="s">
        <v>26</v>
      </c>
      <c r="I23" s="6">
        <f>5*H18</f>
        <v>1.0716312981065799</v>
      </c>
    </row>
    <row r="24" spans="1:9" ht="18.5" x14ac:dyDescent="0.45">
      <c r="H24" s="6" t="s">
        <v>27</v>
      </c>
      <c r="I24" s="6">
        <f>5*I18</f>
        <v>0.52120886513262832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Anika Sarkar</cp:lastModifiedBy>
  <dcterms:created xsi:type="dcterms:W3CDTF">2024-10-16T14:51:15Z</dcterms:created>
  <dcterms:modified xsi:type="dcterms:W3CDTF">2024-10-18T08:35:12Z</dcterms:modified>
</cp:coreProperties>
</file>