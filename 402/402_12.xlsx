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140" windowHeight="1014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H22" i="1"/>
  <c r="N19" i="1"/>
  <c r="N20" i="1"/>
  <c r="N21" i="1"/>
  <c r="N18" i="1"/>
  <c r="M19" i="1"/>
  <c r="M20" i="1"/>
  <c r="M21" i="1"/>
  <c r="M18" i="1"/>
  <c r="L19" i="1"/>
  <c r="L20" i="1"/>
  <c r="L21" i="1"/>
  <c r="L18" i="1"/>
  <c r="K19" i="1"/>
  <c r="K20" i="1"/>
  <c r="K21" i="1"/>
  <c r="K18" i="1"/>
  <c r="J19" i="1"/>
  <c r="J20" i="1"/>
  <c r="J21" i="1"/>
  <c r="J18" i="1"/>
  <c r="I21" i="1"/>
  <c r="I20" i="1"/>
  <c r="I19" i="1"/>
  <c r="I18" i="1"/>
  <c r="F23" i="1"/>
  <c r="E23" i="1"/>
  <c r="D23" i="1"/>
  <c r="C23" i="1"/>
  <c r="H21" i="1"/>
  <c r="H20" i="1"/>
  <c r="H19" i="1"/>
  <c r="H18" i="1"/>
  <c r="D22" i="1"/>
  <c r="E22" i="1"/>
  <c r="F22" i="1"/>
  <c r="G22" i="1"/>
  <c r="C22" i="1"/>
  <c r="G19" i="1"/>
  <c r="G20" i="1"/>
  <c r="G21" i="1"/>
  <c r="G18" i="1"/>
  <c r="D11" i="1"/>
  <c r="C11" i="1"/>
  <c r="H6" i="1"/>
  <c r="K8" i="1" l="1"/>
  <c r="K9" i="1"/>
  <c r="D10" i="1"/>
  <c r="E10" i="1"/>
  <c r="E11" i="1" s="1"/>
  <c r="F10" i="1"/>
  <c r="F11" i="1" s="1"/>
  <c r="C10" i="1"/>
  <c r="G7" i="1"/>
  <c r="K7" i="1" s="1"/>
  <c r="M7" i="1" s="1"/>
  <c r="G8" i="1"/>
  <c r="G9" i="1"/>
  <c r="H9" i="1" s="1"/>
  <c r="I9" i="1" s="1"/>
  <c r="M9" i="1" s="1"/>
  <c r="G6" i="1"/>
  <c r="H8" i="1"/>
  <c r="I8" i="1" s="1"/>
  <c r="H7" i="1"/>
  <c r="I7" i="1" s="1"/>
  <c r="I6" i="1" l="1"/>
  <c r="H10" i="1"/>
  <c r="G10" i="1"/>
  <c r="K6" i="1"/>
  <c r="M8" i="1"/>
  <c r="L8" i="1"/>
  <c r="N8" i="1" s="1"/>
  <c r="L7" i="1"/>
  <c r="N7" i="1" s="1"/>
  <c r="L9" i="1"/>
  <c r="N9" i="1" s="1"/>
  <c r="G11" i="1"/>
  <c r="M6" i="1" l="1"/>
  <c r="L6" i="1"/>
  <c r="N6" i="1" l="1"/>
</calcChain>
</file>

<file path=xl/sharedStrings.xml><?xml version="1.0" encoding="utf-8"?>
<sst xmlns="http://schemas.openxmlformats.org/spreadsheetml/2006/main" count="42" uniqueCount="18">
  <si>
    <t>Place of</t>
  </si>
  <si>
    <t>enumeration</t>
  </si>
  <si>
    <t>Place of birth</t>
  </si>
  <si>
    <t>Total</t>
  </si>
  <si>
    <t>Chittagong</t>
  </si>
  <si>
    <t>Dhaka</t>
  </si>
  <si>
    <t>Khulna</t>
  </si>
  <si>
    <t>Rajshahi</t>
  </si>
  <si>
    <t>khulna</t>
  </si>
  <si>
    <t>In migration</t>
  </si>
  <si>
    <t>Out migration</t>
  </si>
  <si>
    <t>IMR</t>
  </si>
  <si>
    <t>OMR</t>
  </si>
  <si>
    <t>NMR</t>
  </si>
  <si>
    <t>GMR</t>
  </si>
  <si>
    <t>ER</t>
  </si>
  <si>
    <t>In Migration</t>
  </si>
  <si>
    <t>Out 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</si>
</sst>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7030A0"/>
      <name val="Times New Roman"/>
      <family val="1"/>
    </font>
    <font>
      <sz val="12"/>
      <color rgb="FF7030A0"/>
      <name val="Times New Roman"/>
      <family val="1"/>
    </font>
    <font>
      <b/>
      <sz val="12"/>
      <color rgb="FF00206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O23"/>
  <sheetViews>
    <sheetView tabSelected="1" topLeftCell="A4" zoomScale="104" workbookViewId="0">
      <selection activeCell="J12" sqref="J12"/>
    </sheetView>
  </sheetViews>
  <sheetFormatPr defaultColWidth="8.7109375" defaultRowHeight="15" x14ac:dyDescent="0.25"/>
  <cols>
    <col min="1" max="1" width="8.7109375" style="5"/>
    <col min="2" max="2" width="13" style="5" bestFit="1" customWidth="1"/>
    <col min="3" max="7" width="11.140625" style="5" bestFit="1" customWidth="1"/>
    <col min="8" max="8" width="12.5703125" style="5" bestFit="1" customWidth="1"/>
    <col min="9" max="9" width="11.85546875" style="5" bestFit="1" customWidth="1"/>
    <col min="10" max="10" width="13" style="5" bestFit="1" customWidth="1"/>
    <col min="11" max="11" width="11.85546875" style="5" bestFit="1" customWidth="1"/>
    <col min="12" max="12" width="12.42578125" style="5" bestFit="1" customWidth="1"/>
    <col min="13" max="14" width="11.85546875" style="5" bestFit="1" customWidth="1"/>
    <col min="15" max="16384" width="8.7109375" style="5"/>
  </cols>
  <sheetData>
    <row r="4" spans="2:15" ht="15.75" x14ac:dyDescent="0.25">
      <c r="B4" s="4" t="s">
        <v>0</v>
      </c>
      <c r="C4" s="11" t="s">
        <v>2</v>
      </c>
      <c r="D4" s="11"/>
      <c r="E4" s="11"/>
      <c r="F4" s="11"/>
      <c r="G4" s="11" t="s">
        <v>3</v>
      </c>
    </row>
    <row r="5" spans="2:15" ht="15.75" x14ac:dyDescent="0.25">
      <c r="B5" s="4" t="s">
        <v>1</v>
      </c>
      <c r="C5" s="3" t="s">
        <v>4</v>
      </c>
      <c r="D5" s="3" t="s">
        <v>5</v>
      </c>
      <c r="E5" s="3" t="s">
        <v>6</v>
      </c>
      <c r="F5" s="3" t="s">
        <v>7</v>
      </c>
      <c r="G5" s="11"/>
      <c r="H5" s="7" t="s">
        <v>9</v>
      </c>
      <c r="I5" s="7" t="s">
        <v>11</v>
      </c>
      <c r="J5" s="8" t="s">
        <v>10</v>
      </c>
      <c r="K5" s="7" t="s">
        <v>12</v>
      </c>
      <c r="L5" s="7" t="s">
        <v>13</v>
      </c>
      <c r="M5" s="7" t="s">
        <v>14</v>
      </c>
      <c r="N5" s="7" t="s">
        <v>15</v>
      </c>
      <c r="O5" s="9"/>
    </row>
    <row r="6" spans="2:15" ht="15.6" x14ac:dyDescent="0.35">
      <c r="B6" s="2" t="s">
        <v>4</v>
      </c>
      <c r="C6" s="1">
        <v>18363975</v>
      </c>
      <c r="D6" s="1">
        <v>134513</v>
      </c>
      <c r="E6" s="1">
        <v>21809</v>
      </c>
      <c r="F6" s="1">
        <v>11666</v>
      </c>
      <c r="G6" s="1">
        <f>SUM(C6:F6)</f>
        <v>18531963</v>
      </c>
      <c r="H6" s="9">
        <f>G6-C6</f>
        <v>167988</v>
      </c>
      <c r="I6" s="9">
        <f>(H6/G6)*1000</f>
        <v>9.0647709581548384</v>
      </c>
      <c r="J6" s="9">
        <v>432585</v>
      </c>
      <c r="K6" s="9">
        <f>(J6/G6)*1000</f>
        <v>23.34264319435561</v>
      </c>
      <c r="L6" s="9">
        <f>I6-K6</f>
        <v>-14.277872236200771</v>
      </c>
      <c r="M6" s="9">
        <f>I6+K6</f>
        <v>32.407414152510448</v>
      </c>
      <c r="N6" s="9">
        <f>ABS(L6/M6)*100</f>
        <v>44.057425158973174</v>
      </c>
      <c r="O6" s="9"/>
    </row>
    <row r="7" spans="2:15" ht="15.6" x14ac:dyDescent="0.35">
      <c r="B7" s="2" t="s">
        <v>5</v>
      </c>
      <c r="C7" s="1">
        <v>311324</v>
      </c>
      <c r="D7" s="1">
        <v>20719900</v>
      </c>
      <c r="E7" s="1">
        <v>112689</v>
      </c>
      <c r="F7" s="1">
        <v>65915</v>
      </c>
      <c r="G7" s="1">
        <f t="shared" ref="G7:G10" si="0">SUM(C7:F7)</f>
        <v>21209828</v>
      </c>
      <c r="H7" s="9">
        <f>G7-D7</f>
        <v>489928</v>
      </c>
      <c r="I7" s="9">
        <f>(H7/G7)*1000</f>
        <v>23.099102925304251</v>
      </c>
      <c r="J7" s="9">
        <v>329486</v>
      </c>
      <c r="K7" s="9">
        <f>(J7/G7)*1000</f>
        <v>15.534590850996057</v>
      </c>
      <c r="L7" s="9">
        <f t="shared" ref="L7:L9" si="1">I7-K7</f>
        <v>7.5645120743081939</v>
      </c>
      <c r="M7" s="9">
        <f t="shared" ref="M7:M9" si="2">I7+K7</f>
        <v>38.633693776300305</v>
      </c>
      <c r="N7" s="9">
        <f t="shared" ref="N7:N9" si="3">ABS(L7/M7)*100</f>
        <v>19.580090161993819</v>
      </c>
      <c r="O7" s="9"/>
    </row>
    <row r="8" spans="2:15" ht="15.6" x14ac:dyDescent="0.35">
      <c r="B8" s="2" t="s">
        <v>8</v>
      </c>
      <c r="C8" s="1">
        <v>75784</v>
      </c>
      <c r="D8" s="1">
        <v>15622</v>
      </c>
      <c r="E8" s="1">
        <v>13719526</v>
      </c>
      <c r="F8" s="1">
        <v>32701</v>
      </c>
      <c r="G8" s="1">
        <f t="shared" si="0"/>
        <v>13843633</v>
      </c>
      <c r="H8" s="9">
        <f>G8-E8</f>
        <v>124107</v>
      </c>
      <c r="I8" s="9">
        <f>(H8/G8)*1000</f>
        <v>8.9649154958095174</v>
      </c>
      <c r="J8" s="9">
        <v>160648</v>
      </c>
      <c r="K8" s="9">
        <f>(J8/G8)*1000</f>
        <v>11.604468277944092</v>
      </c>
      <c r="L8" s="9">
        <f t="shared" si="1"/>
        <v>-2.6395527821345741</v>
      </c>
      <c r="M8" s="9">
        <f t="shared" si="2"/>
        <v>20.569383773753607</v>
      </c>
      <c r="N8" s="9">
        <f t="shared" si="3"/>
        <v>12.832434900177347</v>
      </c>
      <c r="O8" s="9"/>
    </row>
    <row r="9" spans="2:15" ht="15.6" x14ac:dyDescent="0.35">
      <c r="B9" s="2" t="s">
        <v>7</v>
      </c>
      <c r="C9" s="1">
        <v>45477</v>
      </c>
      <c r="D9" s="1">
        <v>179351</v>
      </c>
      <c r="E9" s="1">
        <v>26150</v>
      </c>
      <c r="F9" s="1">
        <v>16761125</v>
      </c>
      <c r="G9" s="1">
        <f t="shared" si="0"/>
        <v>17012103</v>
      </c>
      <c r="H9" s="9">
        <f>G9-F9</f>
        <v>250978</v>
      </c>
      <c r="I9" s="9">
        <f>(H9/G9)*1000</f>
        <v>14.752908561628153</v>
      </c>
      <c r="J9" s="9">
        <v>110282</v>
      </c>
      <c r="K9" s="9">
        <f>(J9/G9)*1000</f>
        <v>6.4825612682923444</v>
      </c>
      <c r="L9" s="9">
        <f t="shared" si="1"/>
        <v>8.27034729333581</v>
      </c>
      <c r="M9" s="9">
        <f t="shared" si="2"/>
        <v>21.235469829920497</v>
      </c>
      <c r="N9" s="9">
        <f t="shared" si="3"/>
        <v>38.945911531860716</v>
      </c>
      <c r="O9" s="9"/>
    </row>
    <row r="10" spans="2:15" ht="15.6" x14ac:dyDescent="0.35">
      <c r="B10" s="2" t="s">
        <v>3</v>
      </c>
      <c r="C10" s="1">
        <f>SUM(C6:C9)</f>
        <v>18796560</v>
      </c>
      <c r="D10" s="1">
        <f t="shared" ref="D10:F10" si="4">SUM(D6:D9)</f>
        <v>21049386</v>
      </c>
      <c r="E10" s="1">
        <f t="shared" si="4"/>
        <v>13880174</v>
      </c>
      <c r="F10" s="1">
        <f t="shared" si="4"/>
        <v>16871407</v>
      </c>
      <c r="G10" s="1">
        <f t="shared" si="0"/>
        <v>70597527</v>
      </c>
      <c r="H10" s="10">
        <f>SUM(H6:H9)</f>
        <v>1033001</v>
      </c>
      <c r="I10" s="10"/>
      <c r="J10" s="10">
        <v>1033001</v>
      </c>
      <c r="K10" s="9"/>
      <c r="L10" s="9"/>
      <c r="M10" s="9"/>
      <c r="N10" s="9"/>
      <c r="O10" s="9"/>
    </row>
    <row r="11" spans="2:15" ht="15.6" x14ac:dyDescent="0.35">
      <c r="B11" s="2" t="s">
        <v>10</v>
      </c>
      <c r="C11" s="5">
        <f>C10-C6</f>
        <v>432585</v>
      </c>
      <c r="D11" s="5">
        <f>D10-D7</f>
        <v>329486</v>
      </c>
      <c r="E11" s="5">
        <f>E10-E8</f>
        <v>160648</v>
      </c>
      <c r="F11" s="5">
        <f>F10-F9</f>
        <v>110282</v>
      </c>
      <c r="G11" s="1">
        <f>SUM(C11:F11)</f>
        <v>1033001</v>
      </c>
      <c r="H11" s="9"/>
      <c r="I11" s="9"/>
      <c r="J11" s="9"/>
      <c r="K11" s="9"/>
      <c r="L11" s="9"/>
      <c r="M11" s="9"/>
      <c r="N11" s="9"/>
      <c r="O11" s="9"/>
    </row>
    <row r="12" spans="2:15" ht="15.6" x14ac:dyDescent="0.35">
      <c r="B12" s="2"/>
      <c r="H12" s="9"/>
      <c r="I12" s="9"/>
      <c r="J12" s="9"/>
      <c r="K12" s="9"/>
      <c r="L12" s="9"/>
      <c r="M12" s="9"/>
      <c r="N12" s="9"/>
      <c r="O12" s="9"/>
    </row>
    <row r="16" spans="2:15" ht="15.75" x14ac:dyDescent="0.25">
      <c r="B16" s="4" t="s">
        <v>0</v>
      </c>
      <c r="C16" s="11" t="s">
        <v>2</v>
      </c>
      <c r="D16" s="11"/>
      <c r="E16" s="11"/>
      <c r="F16" s="11"/>
    </row>
    <row r="17" spans="2:14" ht="15.75" x14ac:dyDescent="0.25">
      <c r="B17" s="4" t="s">
        <v>1</v>
      </c>
      <c r="C17" s="6" t="s">
        <v>4</v>
      </c>
      <c r="D17" s="6" t="s">
        <v>5</v>
      </c>
      <c r="E17" s="6" t="s">
        <v>6</v>
      </c>
      <c r="F17" s="6" t="s">
        <v>7</v>
      </c>
      <c r="G17" s="5" t="s">
        <v>3</v>
      </c>
      <c r="H17" s="5" t="s">
        <v>16</v>
      </c>
      <c r="I17" s="5" t="s">
        <v>17</v>
      </c>
      <c r="J17" s="5" t="s">
        <v>11</v>
      </c>
      <c r="K17" s="5" t="s">
        <v>12</v>
      </c>
      <c r="L17" s="5" t="s">
        <v>13</v>
      </c>
      <c r="M17" s="5" t="s">
        <v>14</v>
      </c>
      <c r="N17" s="5" t="s">
        <v>15</v>
      </c>
    </row>
    <row r="18" spans="2:14" ht="15.75" x14ac:dyDescent="0.25">
      <c r="B18" s="2" t="s">
        <v>4</v>
      </c>
      <c r="C18" s="1">
        <v>18363975</v>
      </c>
      <c r="D18" s="1">
        <v>134513</v>
      </c>
      <c r="E18" s="1">
        <v>21809</v>
      </c>
      <c r="F18" s="1">
        <v>11666</v>
      </c>
      <c r="G18" s="5">
        <f>SUM(C18:F18)</f>
        <v>18531963</v>
      </c>
      <c r="H18" s="5">
        <f>G18-C18</f>
        <v>167988</v>
      </c>
      <c r="I18" s="5">
        <f>C23</f>
        <v>432585</v>
      </c>
      <c r="J18" s="5">
        <f>H18/G18*1000</f>
        <v>9.0647709581548384</v>
      </c>
      <c r="K18" s="5">
        <f>I18/G18*1000</f>
        <v>23.34264319435561</v>
      </c>
      <c r="L18" s="5">
        <f>J18-K18</f>
        <v>-14.277872236200771</v>
      </c>
      <c r="M18" s="5">
        <f>J18+K18</f>
        <v>32.407414152510448</v>
      </c>
      <c r="N18" s="5">
        <f>ABS(L18/M18)*100</f>
        <v>44.057425158973174</v>
      </c>
    </row>
    <row r="19" spans="2:14" ht="15.75" x14ac:dyDescent="0.25">
      <c r="B19" s="2" t="s">
        <v>5</v>
      </c>
      <c r="C19" s="1">
        <v>311324</v>
      </c>
      <c r="D19" s="1">
        <v>20719900</v>
      </c>
      <c r="E19" s="1">
        <v>112689</v>
      </c>
      <c r="F19" s="1">
        <v>65915</v>
      </c>
      <c r="G19" s="5">
        <f t="shared" ref="G19:G22" si="5">SUM(C19:F19)</f>
        <v>21209828</v>
      </c>
      <c r="H19" s="5">
        <f>G19-D19</f>
        <v>489928</v>
      </c>
      <c r="I19" s="5">
        <f>D23</f>
        <v>329486</v>
      </c>
      <c r="J19" s="5">
        <f t="shared" ref="J19:J21" si="6">H19/G19*1000</f>
        <v>23.099102925304251</v>
      </c>
      <c r="K19" s="5">
        <f t="shared" ref="K19:K21" si="7">I19/G19*1000</f>
        <v>15.534590850996057</v>
      </c>
      <c r="L19" s="5">
        <f t="shared" ref="L19:L21" si="8">J19-K19</f>
        <v>7.5645120743081939</v>
      </c>
      <c r="M19" s="5">
        <f t="shared" ref="M19:M23" si="9">J19+K19</f>
        <v>38.633693776300305</v>
      </c>
      <c r="N19" s="5">
        <f t="shared" ref="N19:N23" si="10">ABS(L19/M19)*100</f>
        <v>19.580090161993819</v>
      </c>
    </row>
    <row r="20" spans="2:14" ht="15.75" x14ac:dyDescent="0.25">
      <c r="B20" s="2" t="s">
        <v>8</v>
      </c>
      <c r="C20" s="1">
        <v>75784</v>
      </c>
      <c r="D20" s="1">
        <v>15622</v>
      </c>
      <c r="E20" s="1">
        <v>13719526</v>
      </c>
      <c r="F20" s="1">
        <v>32701</v>
      </c>
      <c r="G20" s="5">
        <f t="shared" si="5"/>
        <v>13843633</v>
      </c>
      <c r="H20" s="5">
        <f>G20-E20</f>
        <v>124107</v>
      </c>
      <c r="I20" s="5">
        <f>E23</f>
        <v>160648</v>
      </c>
      <c r="J20" s="5">
        <f t="shared" si="6"/>
        <v>8.9649154958095174</v>
      </c>
      <c r="K20" s="5">
        <f t="shared" si="7"/>
        <v>11.604468277944092</v>
      </c>
      <c r="L20" s="5">
        <f t="shared" si="8"/>
        <v>-2.6395527821345741</v>
      </c>
      <c r="M20" s="5">
        <f t="shared" si="9"/>
        <v>20.569383773753607</v>
      </c>
      <c r="N20" s="5">
        <f t="shared" si="10"/>
        <v>12.832434900177347</v>
      </c>
    </row>
    <row r="21" spans="2:14" ht="15.75" x14ac:dyDescent="0.25">
      <c r="B21" s="2" t="s">
        <v>7</v>
      </c>
      <c r="C21" s="1">
        <v>45477</v>
      </c>
      <c r="D21" s="1">
        <v>179351</v>
      </c>
      <c r="E21" s="1">
        <v>26150</v>
      </c>
      <c r="F21" s="1">
        <v>16761125</v>
      </c>
      <c r="G21" s="5">
        <f t="shared" si="5"/>
        <v>17012103</v>
      </c>
      <c r="H21" s="5">
        <f>G21-F21</f>
        <v>250978</v>
      </c>
      <c r="I21" s="5">
        <f>F23</f>
        <v>110282</v>
      </c>
      <c r="J21" s="5">
        <f t="shared" si="6"/>
        <v>14.752908561628153</v>
      </c>
      <c r="K21" s="5">
        <f t="shared" si="7"/>
        <v>6.4825612682923444</v>
      </c>
      <c r="L21" s="5">
        <f t="shared" si="8"/>
        <v>8.27034729333581</v>
      </c>
      <c r="M21" s="5">
        <f t="shared" si="9"/>
        <v>21.235469829920497</v>
      </c>
      <c r="N21" s="5">
        <f t="shared" si="10"/>
        <v>38.945911531860716</v>
      </c>
    </row>
    <row r="22" spans="2:14" x14ac:dyDescent="0.25">
      <c r="B22" s="5" t="s">
        <v>3</v>
      </c>
      <c r="C22" s="5">
        <f>SUM(C18:C21)</f>
        <v>18796560</v>
      </c>
      <c r="D22" s="5">
        <f t="shared" ref="D22:G22" si="11">SUM(D18:D21)</f>
        <v>21049386</v>
      </c>
      <c r="E22" s="5">
        <f t="shared" si="11"/>
        <v>13880174</v>
      </c>
      <c r="F22" s="5">
        <f t="shared" si="11"/>
        <v>16871407</v>
      </c>
      <c r="G22" s="5">
        <f t="shared" si="11"/>
        <v>70597527</v>
      </c>
      <c r="H22" s="5">
        <f>SUM(H18:H21)</f>
        <v>1033001</v>
      </c>
      <c r="I22" s="5">
        <f>SUM(I18:I21)</f>
        <v>1033001</v>
      </c>
    </row>
    <row r="23" spans="2:14" x14ac:dyDescent="0.25">
      <c r="B23" s="5" t="s">
        <v>17</v>
      </c>
      <c r="C23" s="5">
        <f>C22-C18</f>
        <v>432585</v>
      </c>
      <c r="D23" s="5">
        <f>D22-D19</f>
        <v>329486</v>
      </c>
      <c r="E23" s="5">
        <f>E22-E20</f>
        <v>160648</v>
      </c>
      <c r="F23" s="5">
        <f>F22-F21</f>
        <v>110282</v>
      </c>
    </row>
  </sheetData>
  <mergeCells count="3">
    <mergeCell ref="C4:F4"/>
    <mergeCell ref="G4:G5"/>
    <mergeCell ref="C16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Sarkar</dc:creator>
  <cp:lastModifiedBy>Windows for Docker</cp:lastModifiedBy>
  <cp:lastPrinted>2024-10-22T07:39:46Z</cp:lastPrinted>
  <dcterms:created xsi:type="dcterms:W3CDTF">2024-10-16T17:04:11Z</dcterms:created>
  <dcterms:modified xsi:type="dcterms:W3CDTF">2026-09-13T10:47:04Z</dcterms:modified>
</cp:coreProperties>
</file>