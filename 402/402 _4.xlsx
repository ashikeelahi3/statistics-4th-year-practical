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005" windowHeight="6615" activeTab="2"/>
  </bookViews>
  <sheets>
    <sheet name="Sheet1" sheetId="1" r:id="rId1"/>
    <sheet name="popuPyramid-25" sheetId="2" r:id="rId2"/>
    <sheet name="Sheet2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3" l="1"/>
  <c r="G20" i="3" s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3" i="3"/>
  <c r="H4" i="3"/>
  <c r="H20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3" i="3"/>
  <c r="B20" i="3"/>
  <c r="C20" i="3" l="1"/>
  <c r="F20" i="2" l="1"/>
  <c r="E20" i="2"/>
  <c r="E19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3" i="2"/>
  <c r="F3" i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3" i="2"/>
  <c r="C20" i="2"/>
  <c r="B20" i="2"/>
  <c r="E3" i="1"/>
  <c r="D24" i="1"/>
  <c r="C19" i="1"/>
  <c r="F4" i="1" s="1"/>
  <c r="B19" i="1"/>
  <c r="E4" i="1" s="1"/>
  <c r="E14" i="1" l="1"/>
  <c r="E6" i="1"/>
  <c r="E11" i="1"/>
  <c r="D22" i="1"/>
  <c r="E15" i="1"/>
  <c r="E7" i="1"/>
  <c r="E18" i="1"/>
  <c r="E10" i="1"/>
  <c r="D23" i="1"/>
  <c r="F15" i="1"/>
  <c r="F11" i="1"/>
  <c r="F7" i="1"/>
  <c r="F18" i="1"/>
  <c r="F14" i="1"/>
  <c r="F10" i="1"/>
  <c r="F6" i="1"/>
  <c r="E17" i="1"/>
  <c r="E13" i="1"/>
  <c r="E9" i="1"/>
  <c r="E5" i="1"/>
  <c r="F17" i="1"/>
  <c r="F13" i="1"/>
  <c r="F9" i="1"/>
  <c r="F5" i="1"/>
  <c r="E16" i="1"/>
  <c r="E12" i="1"/>
  <c r="E8" i="1"/>
  <c r="F16" i="1"/>
  <c r="F12" i="1"/>
  <c r="F8" i="1"/>
  <c r="E19" i="1" l="1"/>
  <c r="D27" i="1"/>
  <c r="F33" i="1" s="1"/>
  <c r="D26" i="1"/>
  <c r="F39" i="1" s="1"/>
  <c r="D28" i="1"/>
  <c r="F34" i="1" s="1"/>
  <c r="F19" i="1"/>
  <c r="F43" i="1" l="1"/>
  <c r="F44" i="1"/>
  <c r="F41" i="1"/>
  <c r="F40" i="1"/>
  <c r="F42" i="1"/>
</calcChain>
</file>

<file path=xl/sharedStrings.xml><?xml version="1.0" encoding="utf-8"?>
<sst xmlns="http://schemas.openxmlformats.org/spreadsheetml/2006/main" count="142" uniqueCount="51">
  <si>
    <t>Age Group</t>
  </si>
  <si>
    <t>Population in year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</si>
  <si>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</si>
  <si>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</si>
  <si>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</si>
  <si>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</si>
  <si>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</si>
  <si>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</si>
  <si>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</si>
  <si>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</si>
  <si>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</si>
  <si>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</si>
  <si>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</si>
  <si>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</si>
  <si>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</si>
  <si>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</si>
  <si>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5-9</t>
  </si>
  <si>
    <t>10-14</t>
  </si>
  <si>
    <t>Percentage in year</t>
  </si>
  <si>
    <t>Total</t>
  </si>
  <si>
    <t>(b).</t>
  </si>
  <si>
    <t>(a).</t>
  </si>
  <si>
    <t>Pt =</t>
  </si>
  <si>
    <t>P0 =</t>
  </si>
  <si>
    <t>t =</t>
  </si>
  <si>
    <t>Arithmetic growth rate =</t>
  </si>
  <si>
    <t>Geometric growth rate =</t>
  </si>
  <si>
    <t>Exponential growth rate =</t>
  </si>
  <si>
    <t>c).</t>
  </si>
  <si>
    <t>Doubling time using geometric growth rate =</t>
  </si>
  <si>
    <t>Doubling time using exponential growth rate =</t>
  </si>
  <si>
    <t>(d).</t>
  </si>
  <si>
    <r>
      <t>P</t>
    </r>
    <r>
      <rPr>
        <vertAlign val="subscript"/>
        <sz val="11"/>
        <color theme="1"/>
        <rFont val="Calibri"/>
        <family val="2"/>
        <scheme val="minor"/>
      </rPr>
      <t xml:space="preserve">40 </t>
    </r>
    <r>
      <rPr>
        <sz val="11"/>
        <color theme="1"/>
        <rFont val="Calibri"/>
        <family val="2"/>
        <scheme val="minor"/>
      </rPr>
      <t>=</t>
    </r>
  </si>
  <si>
    <r>
      <t>P</t>
    </r>
    <r>
      <rPr>
        <vertAlign val="subscript"/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 =</t>
    </r>
  </si>
  <si>
    <t>For arithmetic growth</t>
  </si>
  <si>
    <t>For geomertic growth</t>
  </si>
  <si>
    <t>For exponential growth</t>
  </si>
  <si>
    <t>Formula</t>
  </si>
  <si>
    <t>r(arithmatic)=</t>
  </si>
  <si>
    <t xml:space="preserve">(Pt -Po)/tP0 </t>
  </si>
  <si>
    <t>Population</t>
  </si>
  <si>
    <t>75-79</t>
  </si>
  <si>
    <t>80+</t>
  </si>
  <si>
    <t>a)     Draw a population pyramid</t>
  </si>
  <si>
    <t>b)     Compute intercensal growth rate using different growth functions.</t>
  </si>
  <si>
    <t>c)     Find the time to double the population size of 2021.</t>
  </si>
  <si>
    <t>d)     Calculate the projected population for the years 2041 and 2050.</t>
  </si>
  <si>
    <t>e)     Make an overall comment</t>
  </si>
  <si>
    <t>Percentage Year</t>
  </si>
  <si>
    <t xml:space="preserve">Total 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</si>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</sst>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/>
    <xf numFmtId="49" fontId="0" fillId="0" borderId="0" xfId="0" applyNumberFormat="1"/>
    <xf numFmtId="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pyramid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Sheet1!$E$3:$E$18</c:f>
              <c:numCache>
                <c:formatCode>General</c:formatCode>
                <c:ptCount val="16"/>
                <c:pt idx="0">
                  <c:v>-12.736693808352634</c:v>
                </c:pt>
                <c:pt idx="1">
                  <c:v>-13.289078854159206</c:v>
                </c:pt>
                <c:pt idx="2">
                  <c:v>-12.633221105247658</c:v>
                </c:pt>
                <c:pt idx="3">
                  <c:v>-9.6118181745823286</c:v>
                </c:pt>
                <c:pt idx="4">
                  <c:v>-8.8628349928763015</c:v>
                </c:pt>
                <c:pt idx="5">
                  <c:v>-8.7410555807604435</c:v>
                </c:pt>
                <c:pt idx="6">
                  <c:v>-6.8777509810008199</c:v>
                </c:pt>
                <c:pt idx="7">
                  <c:v>-6.2807930784721062</c:v>
                </c:pt>
                <c:pt idx="8">
                  <c:v>-4.9834045703097019</c:v>
                </c:pt>
                <c:pt idx="9">
                  <c:v>-3.72183353629902</c:v>
                </c:pt>
                <c:pt idx="10">
                  <c:v>-3.1877551995033309</c:v>
                </c:pt>
                <c:pt idx="11">
                  <c:v>-1.8991220739113479</c:v>
                </c:pt>
                <c:pt idx="12">
                  <c:v>-2.2676440857390738</c:v>
                </c:pt>
                <c:pt idx="13">
                  <c:v>-1.6627267445099772</c:v>
                </c:pt>
                <c:pt idx="14">
                  <c:v>-1.5552743220548089</c:v>
                </c:pt>
                <c:pt idx="15">
                  <c:v>-1.6889928922212405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94-4395-847D-9B5BBBD4D7B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Sheet1!$F$3:$F$18</c:f>
              <c:numCache>
                <c:formatCode>General</c:formatCode>
                <c:ptCount val="16"/>
                <c:pt idx="0">
                  <c:v>10.456123299083588</c:v>
                </c:pt>
                <c:pt idx="1">
                  <c:v>12.616634268258817</c:v>
                </c:pt>
                <c:pt idx="2">
                  <c:v>11.555817828381006</c:v>
                </c:pt>
                <c:pt idx="3">
                  <c:v>8.9287697861705073</c:v>
                </c:pt>
                <c:pt idx="4">
                  <c:v>9.2328519855595665</c:v>
                </c:pt>
                <c:pt idx="5">
                  <c:v>9.3578172729797284</c:v>
                </c:pt>
                <c:pt idx="6">
                  <c:v>7.2889475145792835</c:v>
                </c:pt>
                <c:pt idx="7">
                  <c:v>6.6342682588169959</c:v>
                </c:pt>
                <c:pt idx="8">
                  <c:v>5.7352124409886143</c:v>
                </c:pt>
                <c:pt idx="9">
                  <c:v>4.4293251874479314</c:v>
                </c:pt>
                <c:pt idx="10">
                  <c:v>3.85448486531519</c:v>
                </c:pt>
                <c:pt idx="11">
                  <c:v>2.4298805887253541</c:v>
                </c:pt>
                <c:pt idx="12">
                  <c:v>2.731185781727298</c:v>
                </c:pt>
                <c:pt idx="13">
                  <c:v>1.4669536239933352</c:v>
                </c:pt>
                <c:pt idx="14">
                  <c:v>1.5488753124132186</c:v>
                </c:pt>
                <c:pt idx="15">
                  <c:v>1.7328519855595668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294-4395-847D-9B5BBBD4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81523968"/>
        <c:axId val="181525504"/>
      </c:barChart>
      <c:catAx>
        <c:axId val="181523968"/>
        <c:scaling>
          <c:orientation val="minMax"/>
        </c:scaling>
        <c:delete val="1"/>
        <c:axPos val="l"/>
        <c:majorTickMark val="none"/>
        <c:minorTickMark val="none"/>
        <c:tickLblPos val="nextTo"/>
        <c:crossAx val="181525504"/>
        <c:crosses val="autoZero"/>
        <c:auto val="1"/>
        <c:lblAlgn val="ctr"/>
        <c:lblOffset val="100"/>
        <c:noMultiLvlLbl val="0"/>
      </c:catAx>
      <c:valAx>
        <c:axId val="18152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2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'popuPyramid-25'!$D$3:$D$19</c:f>
              <c:strCache>
                <c:ptCount val="1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80+</c:v>
                </c:pt>
              </c:strCache>
            </c:strRef>
          </c:cat>
          <c:val>
            <c:numRef>
              <c:f>'popuPyramid-25'!$E$3:$E$19</c:f>
              <c:numCache>
                <c:formatCode>General</c:formatCode>
                <c:ptCount val="17"/>
                <c:pt idx="0">
                  <c:v>-9.309362558916396</c:v>
                </c:pt>
                <c:pt idx="1">
                  <c:v>-8.6134245488796353</c:v>
                </c:pt>
                <c:pt idx="2">
                  <c:v>-7.8841196479507003</c:v>
                </c:pt>
                <c:pt idx="3">
                  <c:v>-7.3979163806647446</c:v>
                </c:pt>
                <c:pt idx="4">
                  <c:v>-7.0737808691407738</c:v>
                </c:pt>
                <c:pt idx="5">
                  <c:v>-6.8306792354977954</c:v>
                </c:pt>
                <c:pt idx="6">
                  <c:v>-6.6781448771335743</c:v>
                </c:pt>
                <c:pt idx="7">
                  <c:v>-6.5399106148659989</c:v>
                </c:pt>
                <c:pt idx="8">
                  <c:v>-6.2062417059442643</c:v>
                </c:pt>
                <c:pt idx="9">
                  <c:v>-5.8964062905169392</c:v>
                </c:pt>
                <c:pt idx="10">
                  <c:v>-5.4674034076175655</c:v>
                </c:pt>
                <c:pt idx="11">
                  <c:v>-5.281502158361171</c:v>
                </c:pt>
                <c:pt idx="12">
                  <c:v>-4.4687800302018026</c:v>
                </c:pt>
                <c:pt idx="13">
                  <c:v>-4.0413024908860722</c:v>
                </c:pt>
                <c:pt idx="14">
                  <c:v>-3.5204929910462335</c:v>
                </c:pt>
                <c:pt idx="15">
                  <c:v>-2.6931847648682865</c:v>
                </c:pt>
                <c:pt idx="16">
                  <c:v>-2.0973474275080459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28-40AC-BF85-64A98E05B04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'popuPyramid-25'!$D$3:$D$19</c:f>
              <c:strCache>
                <c:ptCount val="1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80+</c:v>
                </c:pt>
              </c:strCache>
            </c:strRef>
          </c:cat>
          <c:val>
            <c:numRef>
              <c:f>'popuPyramid-25'!$F$3:$F$19</c:f>
              <c:numCache>
                <c:formatCode>General</c:formatCode>
                <c:ptCount val="17"/>
                <c:pt idx="0">
                  <c:v>9.3471484186961664</c:v>
                </c:pt>
                <c:pt idx="1">
                  <c:v>8.6461122872939544</c:v>
                </c:pt>
                <c:pt idx="2">
                  <c:v>7.9492823726801536</c:v>
                </c:pt>
                <c:pt idx="3">
                  <c:v>7.7113974454243364</c:v>
                </c:pt>
                <c:pt idx="4">
                  <c:v>7.0290556108595164</c:v>
                </c:pt>
                <c:pt idx="5">
                  <c:v>6.776682603554721</c:v>
                </c:pt>
                <c:pt idx="6">
                  <c:v>6.5710453383434047</c:v>
                </c:pt>
                <c:pt idx="7">
                  <c:v>6.3467137762946964</c:v>
                </c:pt>
                <c:pt idx="8">
                  <c:v>6.1130350658272929</c:v>
                </c:pt>
                <c:pt idx="9">
                  <c:v>5.8419677616851038</c:v>
                </c:pt>
                <c:pt idx="10">
                  <c:v>5.4026517860063841</c:v>
                </c:pt>
                <c:pt idx="11">
                  <c:v>5.2998331534007264</c:v>
                </c:pt>
                <c:pt idx="12">
                  <c:v>4.5099991120208998</c:v>
                </c:pt>
                <c:pt idx="13">
                  <c:v>4.0052530974113072</c:v>
                </c:pt>
                <c:pt idx="14">
                  <c:v>3.5192013796391066</c:v>
                </c:pt>
                <c:pt idx="15">
                  <c:v>2.8041445256088497</c:v>
                </c:pt>
                <c:pt idx="16">
                  <c:v>2.1264762652533777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F28-40AC-BF85-64A98E05B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82285824"/>
        <c:axId val="182287360"/>
      </c:barChart>
      <c:catAx>
        <c:axId val="18228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87360"/>
        <c:crosses val="autoZero"/>
        <c:auto val="1"/>
        <c:lblAlgn val="ctr"/>
        <c:lblOffset val="100"/>
        <c:noMultiLvlLbl val="0"/>
      </c:catAx>
      <c:valAx>
        <c:axId val="18228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%;#,##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85824"/>
        <c:crosses val="autoZero"/>
        <c:crossBetween val="between"/>
        <c:dispUnits>
          <c:builtInUnit val="hundred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 Pyramid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2011</c:v>
          </c:tx>
          <c:spPr>
            <a:solidFill>
              <a:srgbClr val="FF0000"/>
            </a:solidFill>
          </c:spPr>
          <c:invertIfNegative val="0"/>
          <c:cat>
            <c:strRef>
              <c:f>Sheet2!$F$3:$F$19</c:f>
              <c:strCache>
                <c:ptCount val="1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80+</c:v>
                </c:pt>
              </c:strCache>
            </c:strRef>
          </c:cat>
          <c:val>
            <c:numRef>
              <c:f>Sheet2!$G$3:$G$19</c:f>
              <c:numCache>
                <c:formatCode>0.00%</c:formatCode>
                <c:ptCount val="17"/>
                <c:pt idx="0">
                  <c:v>-9.3093625589163953E-2</c:v>
                </c:pt>
                <c:pt idx="1">
                  <c:v>-8.6134245488796349E-2</c:v>
                </c:pt>
                <c:pt idx="2">
                  <c:v>-7.8841196479507006E-2</c:v>
                </c:pt>
                <c:pt idx="3">
                  <c:v>-7.3979163806647444E-2</c:v>
                </c:pt>
                <c:pt idx="4">
                  <c:v>-7.0737808691407736E-2</c:v>
                </c:pt>
                <c:pt idx="5">
                  <c:v>-6.8306792354977955E-2</c:v>
                </c:pt>
                <c:pt idx="6">
                  <c:v>-6.6781448771335739E-2</c:v>
                </c:pt>
                <c:pt idx="7">
                  <c:v>-6.5399106148659986E-2</c:v>
                </c:pt>
                <c:pt idx="8">
                  <c:v>-6.206241705944264E-2</c:v>
                </c:pt>
                <c:pt idx="9">
                  <c:v>-5.8964062905169388E-2</c:v>
                </c:pt>
                <c:pt idx="10">
                  <c:v>-5.4674034076175659E-2</c:v>
                </c:pt>
                <c:pt idx="11">
                  <c:v>-5.2815021583611711E-2</c:v>
                </c:pt>
                <c:pt idx="12">
                  <c:v>-4.4687800302018028E-2</c:v>
                </c:pt>
                <c:pt idx="13">
                  <c:v>-4.0413024908860722E-2</c:v>
                </c:pt>
                <c:pt idx="14">
                  <c:v>-3.5204929910462333E-2</c:v>
                </c:pt>
                <c:pt idx="15">
                  <c:v>-2.6931847648682866E-2</c:v>
                </c:pt>
                <c:pt idx="16">
                  <c:v>-2.0973474275080461E-2</c:v>
                </c:pt>
              </c:numCache>
            </c:numRef>
          </c:val>
        </c:ser>
        <c:ser>
          <c:idx val="1"/>
          <c:order val="1"/>
          <c:tx>
            <c:v>2021</c:v>
          </c:tx>
          <c:spPr>
            <a:solidFill>
              <a:srgbClr val="002060"/>
            </a:solidFill>
          </c:spPr>
          <c:invertIfNegative val="0"/>
          <c:cat>
            <c:strRef>
              <c:f>Sheet2!$F$3:$F$19</c:f>
              <c:strCache>
                <c:ptCount val="1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80+</c:v>
                </c:pt>
              </c:strCache>
            </c:strRef>
          </c:cat>
          <c:val>
            <c:numRef>
              <c:f>Sheet2!$H$3:$H$19</c:f>
              <c:numCache>
                <c:formatCode>0.00%</c:formatCode>
                <c:ptCount val="17"/>
                <c:pt idx="0">
                  <c:v>9.3471484186961662E-2</c:v>
                </c:pt>
                <c:pt idx="1">
                  <c:v>8.6461122872939541E-2</c:v>
                </c:pt>
                <c:pt idx="2">
                  <c:v>7.949282372680154E-2</c:v>
                </c:pt>
                <c:pt idx="3">
                  <c:v>7.7113974454243367E-2</c:v>
                </c:pt>
                <c:pt idx="4">
                  <c:v>7.0290556108595165E-2</c:v>
                </c:pt>
                <c:pt idx="5">
                  <c:v>6.7766826035547206E-2</c:v>
                </c:pt>
                <c:pt idx="6">
                  <c:v>6.571045338343405E-2</c:v>
                </c:pt>
                <c:pt idx="7">
                  <c:v>6.3467137762946962E-2</c:v>
                </c:pt>
                <c:pt idx="8">
                  <c:v>6.1130350658272929E-2</c:v>
                </c:pt>
                <c:pt idx="9">
                  <c:v>5.8419677616851039E-2</c:v>
                </c:pt>
                <c:pt idx="10">
                  <c:v>5.4026517860063843E-2</c:v>
                </c:pt>
                <c:pt idx="11">
                  <c:v>5.2998331534007265E-2</c:v>
                </c:pt>
                <c:pt idx="12">
                  <c:v>4.5099991120209001E-2</c:v>
                </c:pt>
                <c:pt idx="13">
                  <c:v>4.0052530974113071E-2</c:v>
                </c:pt>
                <c:pt idx="14">
                  <c:v>3.5192013796391065E-2</c:v>
                </c:pt>
                <c:pt idx="15">
                  <c:v>2.8041445256088499E-2</c:v>
                </c:pt>
                <c:pt idx="16">
                  <c:v>2.1264762652533777E-2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overlap val="100"/>
        <c:axId val="33940992"/>
        <c:axId val="34619392"/>
      </c:barChart>
      <c:catAx>
        <c:axId val="33940992"/>
        <c:scaling>
          <c:orientation val="minMax"/>
        </c:scaling>
        <c:delete val="0"/>
        <c:axPos val="l"/>
        <c:majorTickMark val="out"/>
        <c:minorTickMark val="none"/>
        <c:tickLblPos val="low"/>
        <c:crossAx val="34619392"/>
        <c:crosses val="autoZero"/>
        <c:auto val="1"/>
        <c:lblAlgn val="ctr"/>
        <c:lblOffset val="100"/>
        <c:noMultiLvlLbl val="0"/>
      </c:catAx>
      <c:valAx>
        <c:axId val="34619392"/>
        <c:scaling>
          <c:orientation val="minMax"/>
        </c:scaling>
        <c:delete val="0"/>
        <c:axPos val="b"/>
        <c:numFmt formatCode="#,##0%;#,##0%" sourceLinked="0"/>
        <c:majorTickMark val="out"/>
        <c:minorTickMark val="none"/>
        <c:tickLblPos val="nextTo"/>
        <c:crossAx val="3394099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15874</xdr:colOff>
      <xdr:row>2</xdr:row>
      <xdr:rowOff>38100</xdr:rowOff>
    </xdr:from>
    <xdr:to>
      <xdr:col>16</xdr:col>
      <xdr:colOff>349249</xdr:colOff>
      <xdr:row>18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96EC2522-890C-F826-9BB6-11D617C7A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260349</xdr:colOff>
      <xdr:row>1</xdr:row>
      <xdr:rowOff>82550</xdr:rowOff>
    </xdr:from>
    <xdr:to>
      <xdr:col>17</xdr:col>
      <xdr:colOff>561974</xdr:colOff>
      <xdr:row>21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B4FCA1D0-5F80-FB6B-C1C6-9BCB78F2E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390525</xdr:colOff>
      <xdr:row>3</xdr:row>
      <xdr:rowOff>47625</xdr:rowOff>
    </xdr:from>
    <xdr:to>
      <xdr:col>18</xdr:col>
      <xdr:colOff>85725</xdr:colOff>
      <xdr:row>17</xdr:row>
      <xdr:rowOff>123825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selection activeCell="E3" sqref="E3"/>
    </sheetView>
  </sheetViews>
  <sheetFormatPr defaultColWidth="8.7109375" defaultRowHeight="15" x14ac:dyDescent="0.25"/>
  <cols>
    <col min="1" max="1" width="11.140625" style="5" bestFit="1" customWidth="1"/>
    <col min="2" max="4" width="8.7109375" style="5"/>
    <col min="5" max="5" width="12.42578125" style="5" bestFit="1" customWidth="1"/>
    <col min="6" max="6" width="12.28515625" style="5" customWidth="1"/>
    <col min="7" max="7" width="12.5703125" style="5" customWidth="1"/>
    <col min="8" max="16384" width="8.7109375" style="5"/>
  </cols>
  <sheetData>
    <row r="1" spans="1:9" ht="15.75" x14ac:dyDescent="0.25">
      <c r="A1" s="14" t="s">
        <v>0</v>
      </c>
      <c r="B1" s="14" t="s">
        <v>1</v>
      </c>
      <c r="C1" s="14"/>
      <c r="D1" s="1"/>
      <c r="E1" t="s">
        <v>18</v>
      </c>
      <c r="F1"/>
    </row>
    <row r="2" spans="1:9" ht="15.75" x14ac:dyDescent="0.25">
      <c r="A2" s="14"/>
      <c r="B2" s="1">
        <v>2001</v>
      </c>
      <c r="C2" s="1">
        <v>2011</v>
      </c>
      <c r="D2" s="1"/>
      <c r="E2" s="5">
        <v>2001</v>
      </c>
      <c r="F2" s="5">
        <v>2011</v>
      </c>
    </row>
    <row r="3" spans="1:9" ht="15.6" x14ac:dyDescent="0.35">
      <c r="A3" s="2" t="s">
        <v>2</v>
      </c>
      <c r="B3" s="2">
        <v>16002</v>
      </c>
      <c r="C3" s="2">
        <v>15061</v>
      </c>
      <c r="D3" s="2" t="s">
        <v>2</v>
      </c>
      <c r="E3" s="5">
        <f t="shared" ref="E3:E18" si="0">-(B3/$B$19)*100</f>
        <v>-12.736693808352634</v>
      </c>
      <c r="F3" s="5">
        <f t="shared" ref="F3:F18" si="1">(C3/$C$19)*100</f>
        <v>10.456123299083588</v>
      </c>
      <c r="I3" s="6" t="s">
        <v>21</v>
      </c>
    </row>
    <row r="4" spans="1:9" ht="15.6" x14ac:dyDescent="0.35">
      <c r="A4" s="3" t="s">
        <v>16</v>
      </c>
      <c r="B4" s="2">
        <v>16696</v>
      </c>
      <c r="C4" s="2">
        <v>18173</v>
      </c>
      <c r="D4" s="3" t="s">
        <v>16</v>
      </c>
      <c r="E4" s="5">
        <f t="shared" si="0"/>
        <v>-13.289078854159206</v>
      </c>
      <c r="F4" s="5">
        <f t="shared" si="1"/>
        <v>12.616634268258817</v>
      </c>
    </row>
    <row r="5" spans="1:9" ht="15.6" x14ac:dyDescent="0.35">
      <c r="A5" s="3" t="s">
        <v>17</v>
      </c>
      <c r="B5" s="2">
        <v>15872</v>
      </c>
      <c r="C5" s="2">
        <v>16645</v>
      </c>
      <c r="D5" s="3" t="s">
        <v>17</v>
      </c>
      <c r="E5" s="5">
        <f t="shared" si="0"/>
        <v>-12.633221105247658</v>
      </c>
      <c r="F5" s="5">
        <f t="shared" si="1"/>
        <v>11.555817828381006</v>
      </c>
    </row>
    <row r="6" spans="1:9" ht="15.6" x14ac:dyDescent="0.35">
      <c r="A6" s="2" t="s">
        <v>3</v>
      </c>
      <c r="B6" s="2">
        <v>12076</v>
      </c>
      <c r="C6" s="2">
        <v>12861</v>
      </c>
      <c r="D6" s="2" t="s">
        <v>3</v>
      </c>
      <c r="E6" s="5">
        <f t="shared" si="0"/>
        <v>-9.6118181745823286</v>
      </c>
      <c r="F6" s="5">
        <f t="shared" si="1"/>
        <v>8.9287697861705073</v>
      </c>
    </row>
    <row r="7" spans="1:9" ht="15.6" x14ac:dyDescent="0.35">
      <c r="A7" s="2" t="s">
        <v>4</v>
      </c>
      <c r="B7" s="2">
        <v>11135</v>
      </c>
      <c r="C7" s="2">
        <v>13299</v>
      </c>
      <c r="D7" s="2" t="s">
        <v>4</v>
      </c>
      <c r="E7" s="5">
        <f t="shared" si="0"/>
        <v>-8.8628349928763015</v>
      </c>
      <c r="F7" s="5">
        <f t="shared" si="1"/>
        <v>9.2328519855595665</v>
      </c>
    </row>
    <row r="8" spans="1:9" ht="15.6" x14ac:dyDescent="0.35">
      <c r="A8" s="2" t="s">
        <v>5</v>
      </c>
      <c r="B8" s="2">
        <v>10982</v>
      </c>
      <c r="C8" s="2">
        <v>13479</v>
      </c>
      <c r="D8" s="2" t="s">
        <v>5</v>
      </c>
      <c r="E8" s="5">
        <f t="shared" si="0"/>
        <v>-8.7410555807604435</v>
      </c>
      <c r="F8" s="5">
        <f t="shared" si="1"/>
        <v>9.3578172729797284</v>
      </c>
    </row>
    <row r="9" spans="1:9" ht="15.6" x14ac:dyDescent="0.35">
      <c r="A9" s="2" t="s">
        <v>6</v>
      </c>
      <c r="B9" s="2">
        <v>8641</v>
      </c>
      <c r="C9" s="2">
        <v>10499</v>
      </c>
      <c r="D9" s="2" t="s">
        <v>6</v>
      </c>
      <c r="E9" s="5">
        <f t="shared" si="0"/>
        <v>-6.8777509810008199</v>
      </c>
      <c r="F9" s="5">
        <f t="shared" si="1"/>
        <v>7.2889475145792835</v>
      </c>
    </row>
    <row r="10" spans="1:9" ht="15.6" x14ac:dyDescent="0.35">
      <c r="A10" s="2" t="s">
        <v>7</v>
      </c>
      <c r="B10" s="2">
        <v>7891</v>
      </c>
      <c r="C10" s="2">
        <v>9556</v>
      </c>
      <c r="D10" s="2" t="s">
        <v>7</v>
      </c>
      <c r="E10" s="5">
        <f t="shared" si="0"/>
        <v>-6.2807930784721062</v>
      </c>
      <c r="F10" s="5">
        <f t="shared" si="1"/>
        <v>6.6342682588169959</v>
      </c>
    </row>
    <row r="11" spans="1:9" ht="15.6" x14ac:dyDescent="0.35">
      <c r="A11" s="2" t="s">
        <v>8</v>
      </c>
      <c r="B11" s="2">
        <v>6261</v>
      </c>
      <c r="C11" s="2">
        <v>8261</v>
      </c>
      <c r="D11" s="2" t="s">
        <v>8</v>
      </c>
      <c r="E11" s="5">
        <f t="shared" si="0"/>
        <v>-4.9834045703097019</v>
      </c>
      <c r="F11" s="5">
        <f t="shared" si="1"/>
        <v>5.7352124409886143</v>
      </c>
    </row>
    <row r="12" spans="1:9" ht="15.6" x14ac:dyDescent="0.35">
      <c r="A12" s="2" t="s">
        <v>9</v>
      </c>
      <c r="B12" s="2">
        <v>4676</v>
      </c>
      <c r="C12" s="2">
        <v>6380</v>
      </c>
      <c r="D12" s="2" t="s">
        <v>9</v>
      </c>
      <c r="E12" s="5">
        <f t="shared" si="0"/>
        <v>-3.72183353629902</v>
      </c>
      <c r="F12" s="5">
        <f t="shared" si="1"/>
        <v>4.4293251874479314</v>
      </c>
    </row>
    <row r="13" spans="1:9" ht="15.6" x14ac:dyDescent="0.35">
      <c r="A13" s="2" t="s">
        <v>10</v>
      </c>
      <c r="B13" s="2">
        <v>4005</v>
      </c>
      <c r="C13" s="2">
        <v>5552</v>
      </c>
      <c r="D13" s="2" t="s">
        <v>10</v>
      </c>
      <c r="E13" s="5">
        <f t="shared" si="0"/>
        <v>-3.1877551995033309</v>
      </c>
      <c r="F13" s="5">
        <f t="shared" si="1"/>
        <v>3.85448486531519</v>
      </c>
    </row>
    <row r="14" spans="1:9" ht="15.6" x14ac:dyDescent="0.35">
      <c r="A14" s="2" t="s">
        <v>11</v>
      </c>
      <c r="B14" s="2">
        <v>2386</v>
      </c>
      <c r="C14" s="2">
        <v>3500</v>
      </c>
      <c r="D14" s="2" t="s">
        <v>11</v>
      </c>
      <c r="E14" s="5">
        <f t="shared" si="0"/>
        <v>-1.8991220739113479</v>
      </c>
      <c r="F14" s="5">
        <f t="shared" si="1"/>
        <v>2.4298805887253541</v>
      </c>
    </row>
    <row r="15" spans="1:9" ht="15.6" x14ac:dyDescent="0.35">
      <c r="A15" s="2" t="s">
        <v>12</v>
      </c>
      <c r="B15" s="2">
        <v>2849</v>
      </c>
      <c r="C15" s="2">
        <v>3934</v>
      </c>
      <c r="D15" s="2" t="s">
        <v>12</v>
      </c>
      <c r="E15" s="5">
        <f t="shared" si="0"/>
        <v>-2.2676440857390738</v>
      </c>
      <c r="F15" s="5">
        <f t="shared" si="1"/>
        <v>2.731185781727298</v>
      </c>
    </row>
    <row r="16" spans="1:9" ht="15.6" x14ac:dyDescent="0.35">
      <c r="A16" s="2" t="s">
        <v>13</v>
      </c>
      <c r="B16" s="2">
        <v>2089</v>
      </c>
      <c r="C16" s="2">
        <v>2113</v>
      </c>
      <c r="D16" s="2" t="s">
        <v>13</v>
      </c>
      <c r="E16" s="5">
        <f t="shared" si="0"/>
        <v>-1.6627267445099772</v>
      </c>
      <c r="F16" s="5">
        <f t="shared" si="1"/>
        <v>1.4669536239933352</v>
      </c>
    </row>
    <row r="17" spans="1:7" ht="15.6" x14ac:dyDescent="0.35">
      <c r="A17" s="2" t="s">
        <v>14</v>
      </c>
      <c r="B17" s="2">
        <v>1954</v>
      </c>
      <c r="C17" s="2">
        <v>2231</v>
      </c>
      <c r="D17" s="2" t="s">
        <v>14</v>
      </c>
      <c r="E17" s="5">
        <f t="shared" si="0"/>
        <v>-1.5552743220548089</v>
      </c>
      <c r="F17" s="5">
        <f t="shared" si="1"/>
        <v>1.5488753124132186</v>
      </c>
    </row>
    <row r="18" spans="1:7" ht="15.6" x14ac:dyDescent="0.35">
      <c r="A18" s="2" t="s">
        <v>15</v>
      </c>
      <c r="B18" s="2">
        <v>2122</v>
      </c>
      <c r="C18" s="2">
        <v>2496</v>
      </c>
      <c r="D18" s="2" t="s">
        <v>15</v>
      </c>
      <c r="E18" s="5">
        <f t="shared" si="0"/>
        <v>-1.6889928922212405</v>
      </c>
      <c r="F18" s="5">
        <f t="shared" si="1"/>
        <v>1.7328519855595668</v>
      </c>
    </row>
    <row r="19" spans="1:7" ht="15.6" x14ac:dyDescent="0.35">
      <c r="A19" s="2" t="s">
        <v>19</v>
      </c>
      <c r="B19" s="5">
        <f>SUM(B3:B18)</f>
        <v>125637</v>
      </c>
      <c r="C19" s="5">
        <f>SUM(C3:C18)</f>
        <v>144040</v>
      </c>
      <c r="E19" s="5">
        <f t="shared" ref="E19:F19" si="2">SUM(E3:E18)</f>
        <v>-99.999999999999986</v>
      </c>
      <c r="F19" s="5">
        <f t="shared" si="2"/>
        <v>99.999999999999986</v>
      </c>
    </row>
    <row r="21" spans="1:7" ht="15.75" x14ac:dyDescent="0.25">
      <c r="A21" s="4" t="s">
        <v>20</v>
      </c>
    </row>
    <row r="22" spans="1:7" x14ac:dyDescent="0.25">
      <c r="B22" s="5">
        <v>2001</v>
      </c>
      <c r="C22" s="5" t="s">
        <v>23</v>
      </c>
      <c r="D22" s="5">
        <f>B19</f>
        <v>125637</v>
      </c>
    </row>
    <row r="23" spans="1:7" x14ac:dyDescent="0.25">
      <c r="B23" s="5">
        <v>2011</v>
      </c>
      <c r="C23" s="5" t="s">
        <v>22</v>
      </c>
      <c r="D23" s="5">
        <f>C19</f>
        <v>144040</v>
      </c>
    </row>
    <row r="24" spans="1:7" x14ac:dyDescent="0.25">
      <c r="C24" s="5" t="s">
        <v>24</v>
      </c>
      <c r="D24" s="5">
        <f>B23-B22</f>
        <v>10</v>
      </c>
    </row>
    <row r="25" spans="1:7" x14ac:dyDescent="0.25">
      <c r="G25" s="5" t="s">
        <v>37</v>
      </c>
    </row>
    <row r="26" spans="1:7" x14ac:dyDescent="0.25">
      <c r="A26" s="12" t="s">
        <v>25</v>
      </c>
      <c r="B26" s="12"/>
      <c r="C26" s="12"/>
      <c r="D26" s="5">
        <f>(D23-D22)/(D24*D22)</f>
        <v>1.4647755040314557E-2</v>
      </c>
      <c r="F26" s="5" t="s">
        <v>38</v>
      </c>
      <c r="G26" s="5" t="s">
        <v>39</v>
      </c>
    </row>
    <row r="27" spans="1:7" x14ac:dyDescent="0.25">
      <c r="A27" s="12" t="s">
        <v>26</v>
      </c>
      <c r="B27" s="12"/>
      <c r="C27" s="12"/>
      <c r="D27" s="5">
        <f>((D23/D22)^(1/D24))-1</f>
        <v>1.376327794788601E-2</v>
      </c>
    </row>
    <row r="28" spans="1:7" x14ac:dyDescent="0.25">
      <c r="A28" s="12" t="s">
        <v>27</v>
      </c>
      <c r="B28" s="12"/>
      <c r="C28" s="12"/>
      <c r="D28" s="5">
        <f>(1/D24)*LN(D23/D22)</f>
        <v>1.3669424214124731E-2</v>
      </c>
    </row>
    <row r="32" spans="1:7" x14ac:dyDescent="0.25">
      <c r="A32" s="6" t="s">
        <v>28</v>
      </c>
    </row>
    <row r="33" spans="1:6" x14ac:dyDescent="0.25">
      <c r="B33" s="12" t="s">
        <v>29</v>
      </c>
      <c r="C33" s="12"/>
      <c r="D33" s="12"/>
      <c r="E33" s="12"/>
      <c r="F33" s="5">
        <f>LN(2)/LN(D27+1)</f>
        <v>50.707854969026918</v>
      </c>
    </row>
    <row r="34" spans="1:6" x14ac:dyDescent="0.25">
      <c r="B34" s="12" t="s">
        <v>30</v>
      </c>
      <c r="C34" s="12"/>
      <c r="D34" s="12"/>
      <c r="E34" s="12"/>
      <c r="F34" s="5">
        <f>LN(2)/D28</f>
        <v>50.707854969027188</v>
      </c>
    </row>
    <row r="38" spans="1:6" x14ac:dyDescent="0.25">
      <c r="A38" s="6" t="s">
        <v>31</v>
      </c>
    </row>
    <row r="39" spans="1:6" ht="18" x14ac:dyDescent="0.35">
      <c r="B39" s="13" t="s">
        <v>34</v>
      </c>
      <c r="C39" s="13"/>
      <c r="D39" s="13"/>
      <c r="E39" s="7" t="s">
        <v>32</v>
      </c>
      <c r="F39" s="7">
        <f>D23*(1+D26*(2040-2011))</f>
        <v>205226.01644420039</v>
      </c>
    </row>
    <row r="40" spans="1:6" ht="18" x14ac:dyDescent="0.35">
      <c r="B40" s="13"/>
      <c r="C40" s="13"/>
      <c r="D40" s="13"/>
      <c r="E40" s="7" t="s">
        <v>33</v>
      </c>
      <c r="F40" s="7">
        <f>D23*(1+D26*(2050-2011))</f>
        <v>226324.64280426945</v>
      </c>
    </row>
    <row r="41" spans="1:6" ht="18" x14ac:dyDescent="0.35">
      <c r="B41" s="13" t="s">
        <v>35</v>
      </c>
      <c r="C41" s="13"/>
      <c r="D41" s="13"/>
      <c r="E41" s="7" t="s">
        <v>32</v>
      </c>
      <c r="F41" s="7">
        <f>D23*((1+D27)^(2040-2011))</f>
        <v>214113.09162923857</v>
      </c>
    </row>
    <row r="42" spans="1:6" ht="18" x14ac:dyDescent="0.35">
      <c r="B42" s="13"/>
      <c r="C42" s="13"/>
      <c r="D42" s="13"/>
      <c r="E42" s="7" t="s">
        <v>33</v>
      </c>
      <c r="F42" s="7">
        <f>D23*((1+D27)^(2050-2011))</f>
        <v>245475.85280033396</v>
      </c>
    </row>
    <row r="43" spans="1:6" ht="18" x14ac:dyDescent="0.35">
      <c r="B43" s="13" t="s">
        <v>36</v>
      </c>
      <c r="C43" s="13"/>
      <c r="D43" s="13"/>
      <c r="E43" s="7" t="s">
        <v>32</v>
      </c>
      <c r="F43" s="7">
        <f>D23*EXP(D28*(2040-2011))</f>
        <v>214113.0916292379</v>
      </c>
    </row>
    <row r="44" spans="1:6" ht="18" x14ac:dyDescent="0.35">
      <c r="B44" s="13"/>
      <c r="C44" s="13"/>
      <c r="D44" s="13"/>
      <c r="E44" s="7" t="s">
        <v>33</v>
      </c>
      <c r="F44" s="7">
        <f>D23*EXP(D28*(2050-2011))</f>
        <v>245475.85280033288</v>
      </c>
    </row>
  </sheetData>
  <mergeCells count="10">
    <mergeCell ref="A28:C28"/>
    <mergeCell ref="A1:A2"/>
    <mergeCell ref="B1:C1"/>
    <mergeCell ref="A26:C26"/>
    <mergeCell ref="A27:C27"/>
    <mergeCell ref="B33:E33"/>
    <mergeCell ref="B34:E34"/>
    <mergeCell ref="B39:D40"/>
    <mergeCell ref="B41:D42"/>
    <mergeCell ref="B43:D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G10" sqref="G10"/>
    </sheetView>
  </sheetViews>
  <sheetFormatPr defaultRowHeight="15" x14ac:dyDescent="0.25"/>
  <cols>
    <col min="1" max="1" width="8.7109375" style="8"/>
  </cols>
  <sheetData>
    <row r="1" spans="1:6" ht="14.45" x14ac:dyDescent="0.35">
      <c r="B1" t="s">
        <v>40</v>
      </c>
      <c r="E1" t="s">
        <v>48</v>
      </c>
    </row>
    <row r="2" spans="1:6" s="11" customFormat="1" ht="14.45" x14ac:dyDescent="0.35">
      <c r="A2" s="10" t="s">
        <v>0</v>
      </c>
      <c r="B2" s="11">
        <v>2011</v>
      </c>
      <c r="C2" s="11">
        <v>2021</v>
      </c>
      <c r="E2" s="11">
        <v>2001</v>
      </c>
      <c r="F2" s="11">
        <v>2011</v>
      </c>
    </row>
    <row r="3" spans="1:6" ht="14.45" x14ac:dyDescent="0.35">
      <c r="A3" s="8" t="s">
        <v>2</v>
      </c>
      <c r="B3">
        <v>195300</v>
      </c>
      <c r="C3">
        <v>200000</v>
      </c>
      <c r="D3" s="5" t="s">
        <v>2</v>
      </c>
      <c r="E3">
        <f>-(B3/$B$20)*100</f>
        <v>-9.309362558916396</v>
      </c>
      <c r="F3">
        <f>(C3/$C$20)*100</f>
        <v>9.3471484186961664</v>
      </c>
    </row>
    <row r="4" spans="1:6" ht="14.45" x14ac:dyDescent="0.35">
      <c r="A4" s="9" t="s">
        <v>16</v>
      </c>
      <c r="B4">
        <v>180700</v>
      </c>
      <c r="C4">
        <v>185000</v>
      </c>
      <c r="D4" s="5" t="s">
        <v>16</v>
      </c>
      <c r="E4">
        <f t="shared" ref="E4:E18" si="0">-(B4/$B$20)*100</f>
        <v>-8.6134245488796353</v>
      </c>
      <c r="F4">
        <f t="shared" ref="F4:F19" si="1">(C4/$C$20)*100</f>
        <v>8.6461122872939544</v>
      </c>
    </row>
    <row r="5" spans="1:6" ht="14.45" x14ac:dyDescent="0.35">
      <c r="A5" s="9" t="s">
        <v>17</v>
      </c>
      <c r="B5">
        <v>165400</v>
      </c>
      <c r="C5">
        <v>170090</v>
      </c>
      <c r="D5" s="5" t="s">
        <v>17</v>
      </c>
      <c r="E5">
        <f t="shared" si="0"/>
        <v>-7.8841196479507003</v>
      </c>
      <c r="F5">
        <f t="shared" si="1"/>
        <v>7.9492823726801536</v>
      </c>
    </row>
    <row r="6" spans="1:6" ht="14.45" x14ac:dyDescent="0.35">
      <c r="A6" s="8" t="s">
        <v>3</v>
      </c>
      <c r="B6">
        <v>155200</v>
      </c>
      <c r="C6">
        <v>165000</v>
      </c>
      <c r="D6" s="5" t="s">
        <v>3</v>
      </c>
      <c r="E6">
        <f t="shared" si="0"/>
        <v>-7.3979163806647446</v>
      </c>
      <c r="F6">
        <f t="shared" si="1"/>
        <v>7.7113974454243364</v>
      </c>
    </row>
    <row r="7" spans="1:6" ht="14.45" x14ac:dyDescent="0.35">
      <c r="A7" s="8" t="s">
        <v>4</v>
      </c>
      <c r="B7">
        <v>148400</v>
      </c>
      <c r="C7">
        <v>150400</v>
      </c>
      <c r="D7" s="5" t="s">
        <v>4</v>
      </c>
      <c r="E7">
        <f t="shared" si="0"/>
        <v>-7.0737808691407738</v>
      </c>
      <c r="F7">
        <f t="shared" si="1"/>
        <v>7.0290556108595164</v>
      </c>
    </row>
    <row r="8" spans="1:6" ht="14.45" x14ac:dyDescent="0.35">
      <c r="A8" s="8" t="s">
        <v>5</v>
      </c>
      <c r="B8">
        <v>143300</v>
      </c>
      <c r="C8">
        <v>145000</v>
      </c>
      <c r="D8" s="5" t="s">
        <v>5</v>
      </c>
      <c r="E8">
        <f t="shared" si="0"/>
        <v>-6.8306792354977954</v>
      </c>
      <c r="F8">
        <f t="shared" si="1"/>
        <v>6.776682603554721</v>
      </c>
    </row>
    <row r="9" spans="1:6" ht="14.45" x14ac:dyDescent="0.35">
      <c r="A9" s="8" t="s">
        <v>6</v>
      </c>
      <c r="B9">
        <v>140100</v>
      </c>
      <c r="C9">
        <v>140600</v>
      </c>
      <c r="D9" s="5" t="s">
        <v>6</v>
      </c>
      <c r="E9">
        <f t="shared" si="0"/>
        <v>-6.6781448771335743</v>
      </c>
      <c r="F9">
        <f t="shared" si="1"/>
        <v>6.5710453383434047</v>
      </c>
    </row>
    <row r="10" spans="1:6" ht="14.45" x14ac:dyDescent="0.35">
      <c r="A10" s="8" t="s">
        <v>7</v>
      </c>
      <c r="B10">
        <v>137200</v>
      </c>
      <c r="C10">
        <v>135800</v>
      </c>
      <c r="D10" s="5" t="s">
        <v>7</v>
      </c>
      <c r="E10">
        <f t="shared" si="0"/>
        <v>-6.5399106148659989</v>
      </c>
      <c r="F10">
        <f t="shared" si="1"/>
        <v>6.3467137762946964</v>
      </c>
    </row>
    <row r="11" spans="1:6" ht="14.45" x14ac:dyDescent="0.35">
      <c r="A11" s="8" t="s">
        <v>8</v>
      </c>
      <c r="B11">
        <v>130200</v>
      </c>
      <c r="C11">
        <v>130800</v>
      </c>
      <c r="D11" s="5" t="s">
        <v>8</v>
      </c>
      <c r="E11">
        <f t="shared" si="0"/>
        <v>-6.2062417059442643</v>
      </c>
      <c r="F11">
        <f t="shared" si="1"/>
        <v>6.1130350658272929</v>
      </c>
    </row>
    <row r="12" spans="1:6" ht="14.45" x14ac:dyDescent="0.35">
      <c r="A12" s="8" t="s">
        <v>9</v>
      </c>
      <c r="B12">
        <v>123700</v>
      </c>
      <c r="C12">
        <v>125000</v>
      </c>
      <c r="D12" s="5" t="s">
        <v>9</v>
      </c>
      <c r="E12">
        <f t="shared" si="0"/>
        <v>-5.8964062905169392</v>
      </c>
      <c r="F12">
        <f t="shared" si="1"/>
        <v>5.8419677616851038</v>
      </c>
    </row>
    <row r="13" spans="1:6" ht="14.45" x14ac:dyDescent="0.35">
      <c r="A13" s="8" t="s">
        <v>10</v>
      </c>
      <c r="B13">
        <v>114700</v>
      </c>
      <c r="C13">
        <v>115600</v>
      </c>
      <c r="D13" s="5" t="s">
        <v>10</v>
      </c>
      <c r="E13">
        <f t="shared" si="0"/>
        <v>-5.4674034076175655</v>
      </c>
      <c r="F13">
        <f t="shared" si="1"/>
        <v>5.4026517860063841</v>
      </c>
    </row>
    <row r="14" spans="1:6" ht="14.45" x14ac:dyDescent="0.35">
      <c r="A14" s="8" t="s">
        <v>11</v>
      </c>
      <c r="B14">
        <v>110800</v>
      </c>
      <c r="C14">
        <v>113400</v>
      </c>
      <c r="D14" s="5" t="s">
        <v>11</v>
      </c>
      <c r="E14">
        <f t="shared" si="0"/>
        <v>-5.281502158361171</v>
      </c>
      <c r="F14">
        <f t="shared" si="1"/>
        <v>5.2998331534007264</v>
      </c>
    </row>
    <row r="15" spans="1:6" ht="14.45" x14ac:dyDescent="0.35">
      <c r="A15" s="8" t="s">
        <v>12</v>
      </c>
      <c r="B15">
        <v>93750</v>
      </c>
      <c r="C15">
        <v>96500</v>
      </c>
      <c r="D15" s="5" t="s">
        <v>12</v>
      </c>
      <c r="E15">
        <f t="shared" si="0"/>
        <v>-4.4687800302018026</v>
      </c>
      <c r="F15">
        <f t="shared" si="1"/>
        <v>4.5099991120208998</v>
      </c>
    </row>
    <row r="16" spans="1:6" ht="14.45" x14ac:dyDescent="0.35">
      <c r="A16" s="8" t="s">
        <v>13</v>
      </c>
      <c r="B16">
        <v>84782</v>
      </c>
      <c r="C16">
        <v>85700</v>
      </c>
      <c r="D16" s="5" t="s">
        <v>13</v>
      </c>
      <c r="E16">
        <f t="shared" si="0"/>
        <v>-4.0413024908860722</v>
      </c>
      <c r="F16">
        <f t="shared" si="1"/>
        <v>4.0052530974113072</v>
      </c>
    </row>
    <row r="17" spans="1:6" ht="14.45" x14ac:dyDescent="0.35">
      <c r="A17" s="8" t="s">
        <v>14</v>
      </c>
      <c r="B17">
        <v>73856</v>
      </c>
      <c r="C17">
        <v>75300</v>
      </c>
      <c r="D17" s="5" t="s">
        <v>14</v>
      </c>
      <c r="E17">
        <f t="shared" si="0"/>
        <v>-3.5204929910462335</v>
      </c>
      <c r="F17">
        <f t="shared" si="1"/>
        <v>3.5192013796391066</v>
      </c>
    </row>
    <row r="18" spans="1:6" ht="14.45" x14ac:dyDescent="0.35">
      <c r="A18" s="8" t="s">
        <v>41</v>
      </c>
      <c r="B18">
        <v>56500</v>
      </c>
      <c r="C18">
        <v>60000</v>
      </c>
      <c r="D18" s="5" t="s">
        <v>41</v>
      </c>
      <c r="E18">
        <f t="shared" si="0"/>
        <v>-2.6931847648682865</v>
      </c>
      <c r="F18">
        <f t="shared" si="1"/>
        <v>2.8041445256088497</v>
      </c>
    </row>
    <row r="19" spans="1:6" ht="14.45" x14ac:dyDescent="0.35">
      <c r="A19" s="8" t="s">
        <v>42</v>
      </c>
      <c r="B19">
        <v>44000</v>
      </c>
      <c r="C19">
        <v>45500</v>
      </c>
      <c r="D19" s="5" t="s">
        <v>42</v>
      </c>
      <c r="E19">
        <f>-(B19/$B$20)*100</f>
        <v>-2.0973474275080459</v>
      </c>
      <c r="F19">
        <f t="shared" si="1"/>
        <v>2.1264762652533777</v>
      </c>
    </row>
    <row r="20" spans="1:6" ht="14.45" x14ac:dyDescent="0.35">
      <c r="A20" s="8" t="s">
        <v>49</v>
      </c>
      <c r="B20">
        <f>SUM(B3:B19)</f>
        <v>2097888</v>
      </c>
      <c r="C20">
        <f>SUM(C3:C19)</f>
        <v>2139690</v>
      </c>
      <c r="E20">
        <f>SUM(E3:E19)</f>
        <v>-100</v>
      </c>
      <c r="F20">
        <f>SUM(F3:F19)</f>
        <v>100.00000000000001</v>
      </c>
    </row>
    <row r="24" spans="1:6" x14ac:dyDescent="0.25">
      <c r="A24" s="8" t="s">
        <v>43</v>
      </c>
    </row>
    <row r="25" spans="1:6" x14ac:dyDescent="0.25">
      <c r="A25" s="8" t="s">
        <v>44</v>
      </c>
    </row>
    <row r="26" spans="1:6" x14ac:dyDescent="0.25">
      <c r="A26" s="8" t="s">
        <v>45</v>
      </c>
    </row>
    <row r="27" spans="1:6" x14ac:dyDescent="0.25">
      <c r="A27" s="8" t="s">
        <v>46</v>
      </c>
    </row>
    <row r="28" spans="1:6" x14ac:dyDescent="0.25">
      <c r="A28" s="8" t="s">
        <v>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zoomScaleNormal="100" workbookViewId="0">
      <selection activeCell="F10" sqref="F10"/>
    </sheetView>
  </sheetViews>
  <sheetFormatPr defaultRowHeight="15" x14ac:dyDescent="0.25"/>
  <cols>
    <col min="6" max="6" width="10.28515625" bestFit="1" customWidth="1"/>
  </cols>
  <sheetData>
    <row r="1" spans="1:8" x14ac:dyDescent="0.25">
      <c r="A1" s="8"/>
      <c r="B1" t="s">
        <v>40</v>
      </c>
    </row>
    <row r="2" spans="1:8" x14ac:dyDescent="0.25">
      <c r="A2" s="10" t="s">
        <v>0</v>
      </c>
      <c r="B2" s="11">
        <v>2011</v>
      </c>
      <c r="C2" s="11">
        <v>2021</v>
      </c>
      <c r="F2" t="s">
        <v>0</v>
      </c>
      <c r="G2" s="11">
        <v>2011</v>
      </c>
      <c r="H2" s="11">
        <v>2021</v>
      </c>
    </row>
    <row r="3" spans="1:8" x14ac:dyDescent="0.25">
      <c r="A3" s="8" t="s">
        <v>2</v>
      </c>
      <c r="B3">
        <v>195300</v>
      </c>
      <c r="C3">
        <v>200000</v>
      </c>
      <c r="F3" s="8" t="s">
        <v>2</v>
      </c>
      <c r="G3" s="15">
        <f>-B3/B$20</f>
        <v>-9.3093625589163953E-2</v>
      </c>
      <c r="H3" s="15">
        <f>C3/C$20</f>
        <v>9.3471484186961662E-2</v>
      </c>
    </row>
    <row r="4" spans="1:8" x14ac:dyDescent="0.25">
      <c r="A4" s="9" t="s">
        <v>16</v>
      </c>
      <c r="B4">
        <v>180700</v>
      </c>
      <c r="C4">
        <v>185000</v>
      </c>
      <c r="F4" s="9" t="s">
        <v>16</v>
      </c>
      <c r="G4" s="15">
        <f t="shared" ref="G4:G19" si="0">-B4/B$20</f>
        <v>-8.6134245488796349E-2</v>
      </c>
      <c r="H4" s="15">
        <f>C4/C$20</f>
        <v>8.6461122872939541E-2</v>
      </c>
    </row>
    <row r="5" spans="1:8" x14ac:dyDescent="0.25">
      <c r="A5" s="9" t="s">
        <v>17</v>
      </c>
      <c r="B5">
        <v>165400</v>
      </c>
      <c r="C5">
        <v>170090</v>
      </c>
      <c r="F5" s="9" t="s">
        <v>17</v>
      </c>
      <c r="G5" s="15">
        <f t="shared" si="0"/>
        <v>-7.8841196479507006E-2</v>
      </c>
      <c r="H5" s="15">
        <f t="shared" ref="H4:H19" si="1">C5/C$20</f>
        <v>7.949282372680154E-2</v>
      </c>
    </row>
    <row r="6" spans="1:8" x14ac:dyDescent="0.25">
      <c r="A6" s="8" t="s">
        <v>3</v>
      </c>
      <c r="B6">
        <v>155200</v>
      </c>
      <c r="C6">
        <v>165000</v>
      </c>
      <c r="F6" s="8" t="s">
        <v>3</v>
      </c>
      <c r="G6" s="15">
        <f t="shared" si="0"/>
        <v>-7.3979163806647444E-2</v>
      </c>
      <c r="H6" s="15">
        <f t="shared" si="1"/>
        <v>7.7113974454243367E-2</v>
      </c>
    </row>
    <row r="7" spans="1:8" x14ac:dyDescent="0.25">
      <c r="A7" s="8" t="s">
        <v>4</v>
      </c>
      <c r="B7">
        <v>148400</v>
      </c>
      <c r="C7">
        <v>150400</v>
      </c>
      <c r="F7" s="8" t="s">
        <v>4</v>
      </c>
      <c r="G7" s="15">
        <f t="shared" si="0"/>
        <v>-7.0737808691407736E-2</v>
      </c>
      <c r="H7" s="15">
        <f t="shared" si="1"/>
        <v>7.0290556108595165E-2</v>
      </c>
    </row>
    <row r="8" spans="1:8" x14ac:dyDescent="0.25">
      <c r="A8" s="8" t="s">
        <v>5</v>
      </c>
      <c r="B8">
        <v>143300</v>
      </c>
      <c r="C8">
        <v>145000</v>
      </c>
      <c r="F8" s="8" t="s">
        <v>5</v>
      </c>
      <c r="G8" s="15">
        <f t="shared" si="0"/>
        <v>-6.8306792354977955E-2</v>
      </c>
      <c r="H8" s="15">
        <f t="shared" si="1"/>
        <v>6.7766826035547206E-2</v>
      </c>
    </row>
    <row r="9" spans="1:8" x14ac:dyDescent="0.25">
      <c r="A9" s="8" t="s">
        <v>6</v>
      </c>
      <c r="B9">
        <v>140100</v>
      </c>
      <c r="C9">
        <v>140600</v>
      </c>
      <c r="F9" s="8" t="s">
        <v>6</v>
      </c>
      <c r="G9" s="15">
        <f t="shared" si="0"/>
        <v>-6.6781448771335739E-2</v>
      </c>
      <c r="H9" s="15">
        <f t="shared" si="1"/>
        <v>6.571045338343405E-2</v>
      </c>
    </row>
    <row r="10" spans="1:8" x14ac:dyDescent="0.25">
      <c r="A10" s="8" t="s">
        <v>7</v>
      </c>
      <c r="B10">
        <v>137200</v>
      </c>
      <c r="C10">
        <v>135800</v>
      </c>
      <c r="F10" s="8" t="s">
        <v>7</v>
      </c>
      <c r="G10" s="15">
        <f t="shared" si="0"/>
        <v>-6.5399106148659986E-2</v>
      </c>
      <c r="H10" s="15">
        <f t="shared" si="1"/>
        <v>6.3467137762946962E-2</v>
      </c>
    </row>
    <row r="11" spans="1:8" x14ac:dyDescent="0.25">
      <c r="A11" s="8" t="s">
        <v>8</v>
      </c>
      <c r="B11">
        <v>130200</v>
      </c>
      <c r="C11">
        <v>130800</v>
      </c>
      <c r="F11" s="8" t="s">
        <v>8</v>
      </c>
      <c r="G11" s="15">
        <f t="shared" si="0"/>
        <v>-6.206241705944264E-2</v>
      </c>
      <c r="H11" s="15">
        <f t="shared" si="1"/>
        <v>6.1130350658272929E-2</v>
      </c>
    </row>
    <row r="12" spans="1:8" x14ac:dyDescent="0.25">
      <c r="A12" s="8" t="s">
        <v>9</v>
      </c>
      <c r="B12">
        <v>123700</v>
      </c>
      <c r="C12">
        <v>125000</v>
      </c>
      <c r="F12" s="8" t="s">
        <v>9</v>
      </c>
      <c r="G12" s="15">
        <f t="shared" si="0"/>
        <v>-5.8964062905169388E-2</v>
      </c>
      <c r="H12" s="15">
        <f t="shared" si="1"/>
        <v>5.8419677616851039E-2</v>
      </c>
    </row>
    <row r="13" spans="1:8" x14ac:dyDescent="0.25">
      <c r="A13" s="8" t="s">
        <v>10</v>
      </c>
      <c r="B13">
        <v>114700</v>
      </c>
      <c r="C13">
        <v>115600</v>
      </c>
      <c r="F13" s="8" t="s">
        <v>10</v>
      </c>
      <c r="G13" s="15">
        <f t="shared" si="0"/>
        <v>-5.4674034076175659E-2</v>
      </c>
      <c r="H13" s="15">
        <f t="shared" si="1"/>
        <v>5.4026517860063843E-2</v>
      </c>
    </row>
    <row r="14" spans="1:8" x14ac:dyDescent="0.25">
      <c r="A14" s="8" t="s">
        <v>11</v>
      </c>
      <c r="B14">
        <v>110800</v>
      </c>
      <c r="C14">
        <v>113400</v>
      </c>
      <c r="F14" s="8" t="s">
        <v>11</v>
      </c>
      <c r="G14" s="15">
        <f t="shared" si="0"/>
        <v>-5.2815021583611711E-2</v>
      </c>
      <c r="H14" s="15">
        <f t="shared" si="1"/>
        <v>5.2998331534007265E-2</v>
      </c>
    </row>
    <row r="15" spans="1:8" x14ac:dyDescent="0.25">
      <c r="A15" s="8" t="s">
        <v>12</v>
      </c>
      <c r="B15">
        <v>93750</v>
      </c>
      <c r="C15">
        <v>96500</v>
      </c>
      <c r="F15" s="8" t="s">
        <v>12</v>
      </c>
      <c r="G15" s="15">
        <f t="shared" si="0"/>
        <v>-4.4687800302018028E-2</v>
      </c>
      <c r="H15" s="15">
        <f t="shared" si="1"/>
        <v>4.5099991120209001E-2</v>
      </c>
    </row>
    <row r="16" spans="1:8" x14ac:dyDescent="0.25">
      <c r="A16" s="8" t="s">
        <v>13</v>
      </c>
      <c r="B16">
        <v>84782</v>
      </c>
      <c r="C16">
        <v>85700</v>
      </c>
      <c r="F16" s="8" t="s">
        <v>13</v>
      </c>
      <c r="G16" s="15">
        <f t="shared" si="0"/>
        <v>-4.0413024908860722E-2</v>
      </c>
      <c r="H16" s="15">
        <f t="shared" si="1"/>
        <v>4.0052530974113071E-2</v>
      </c>
    </row>
    <row r="17" spans="1:8" x14ac:dyDescent="0.25">
      <c r="A17" s="8" t="s">
        <v>14</v>
      </c>
      <c r="B17">
        <v>73856</v>
      </c>
      <c r="C17">
        <v>75300</v>
      </c>
      <c r="F17" s="8" t="s">
        <v>14</v>
      </c>
      <c r="G17" s="15">
        <f t="shared" si="0"/>
        <v>-3.5204929910462333E-2</v>
      </c>
      <c r="H17" s="15">
        <f t="shared" si="1"/>
        <v>3.5192013796391065E-2</v>
      </c>
    </row>
    <row r="18" spans="1:8" x14ac:dyDescent="0.25">
      <c r="A18" s="8" t="s">
        <v>41</v>
      </c>
      <c r="B18">
        <v>56500</v>
      </c>
      <c r="C18">
        <v>60000</v>
      </c>
      <c r="F18" s="8" t="s">
        <v>41</v>
      </c>
      <c r="G18" s="15">
        <f t="shared" si="0"/>
        <v>-2.6931847648682866E-2</v>
      </c>
      <c r="H18" s="15">
        <f t="shared" si="1"/>
        <v>2.8041445256088499E-2</v>
      </c>
    </row>
    <row r="19" spans="1:8" x14ac:dyDescent="0.25">
      <c r="A19" s="8" t="s">
        <v>42</v>
      </c>
      <c r="B19">
        <v>44000</v>
      </c>
      <c r="C19">
        <v>45500</v>
      </c>
      <c r="F19" s="8" t="s">
        <v>42</v>
      </c>
      <c r="G19" s="15">
        <f t="shared" si="0"/>
        <v>-2.0973474275080461E-2</v>
      </c>
      <c r="H19" s="15">
        <f t="shared" si="1"/>
        <v>2.1264762652533777E-2</v>
      </c>
    </row>
    <row r="20" spans="1:8" x14ac:dyDescent="0.25">
      <c r="A20" s="8" t="s">
        <v>50</v>
      </c>
      <c r="B20">
        <f>SUM(B3:B19)</f>
        <v>2097888</v>
      </c>
      <c r="C20">
        <f>SUM(C3:C19)</f>
        <v>2139690</v>
      </c>
      <c r="F20" s="8" t="s">
        <v>50</v>
      </c>
      <c r="G20" s="8">
        <f>SUM(G3:G19)</f>
        <v>-0.99999999999999978</v>
      </c>
      <c r="H20" s="8">
        <f>SUM(H3:H19)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popuPyramid-25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Windows for Docker</cp:lastModifiedBy>
  <dcterms:created xsi:type="dcterms:W3CDTF">2024-10-21T13:07:35Z</dcterms:created>
  <dcterms:modified xsi:type="dcterms:W3CDTF">2026-09-13T07:52:40Z</dcterms:modified>
</cp:coreProperties>
</file>