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Lecture notes 2025\B.Stat 402\Practical\402 practical problem (Demography) By Anika\"/>
    </mc:Choice>
  </mc:AlternateContent>
  <xr:revisionPtr revIDLastSave="0" documentId="13_ncr:1_{90C1CD7D-7954-4BF3-B538-FD0FF4A448F3}" xr6:coauthVersionLast="47" xr6:coauthVersionMax="47" xr10:uidLastSave="{00000000-0000-0000-0000-000000000000}"/>
  <bookViews>
    <workbookView xWindow="-110" yWindow="-110" windowWidth="19420" windowHeight="10300" xr2:uid="{7E52EABC-8D00-4C2D-9150-7367BD22A7B0}"/>
  </bookViews>
  <sheets>
    <sheet name="UN-age-sex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F4" i="1"/>
  <c r="F18" i="1" s="1"/>
  <c r="F19" i="1" s="1"/>
  <c r="C18" i="1"/>
  <c r="C19" i="1" s="1"/>
  <c r="B18" i="1"/>
  <c r="B19" i="1" s="1"/>
  <c r="I7" i="1"/>
  <c r="I8" i="1"/>
  <c r="I15" i="1"/>
  <c r="I16" i="1"/>
  <c r="H5" i="1"/>
  <c r="I5" i="1" s="1"/>
  <c r="H6" i="1"/>
  <c r="I6" i="1" s="1"/>
  <c r="H7" i="1"/>
  <c r="H8" i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H16" i="1"/>
  <c r="H4" i="1"/>
  <c r="I4" i="1" s="1"/>
  <c r="G5" i="1"/>
  <c r="G6" i="1"/>
  <c r="G13" i="1"/>
  <c r="G14" i="1"/>
  <c r="G4" i="1"/>
  <c r="F5" i="1"/>
  <c r="F6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F14" i="1"/>
  <c r="F15" i="1"/>
  <c r="G15" i="1" s="1"/>
  <c r="F16" i="1"/>
  <c r="G16" i="1" s="1"/>
  <c r="E5" i="1"/>
  <c r="E8" i="1"/>
  <c r="E11" i="1"/>
  <c r="E12" i="1"/>
  <c r="E13" i="1"/>
  <c r="E16" i="1"/>
  <c r="D4" i="1"/>
  <c r="E4" i="1" s="1"/>
  <c r="D5" i="1"/>
  <c r="D6" i="1"/>
  <c r="E6" i="1" s="1"/>
  <c r="D7" i="1"/>
  <c r="D8" i="1"/>
  <c r="D9" i="1"/>
  <c r="E9" i="1" s="1"/>
  <c r="D10" i="1"/>
  <c r="D11" i="1"/>
  <c r="D12" i="1"/>
  <c r="D13" i="1"/>
  <c r="D14" i="1"/>
  <c r="E14" i="1" s="1"/>
  <c r="D15" i="1"/>
  <c r="D16" i="1"/>
  <c r="D17" i="1"/>
  <c r="E17" i="1" s="1"/>
  <c r="D3" i="1"/>
  <c r="D18" i="1" s="1"/>
  <c r="D19" i="1" s="1"/>
  <c r="I18" i="1" l="1"/>
  <c r="I19" i="1" s="1"/>
  <c r="G18" i="1"/>
  <c r="G19" i="1" s="1"/>
  <c r="E7" i="1"/>
  <c r="E18" i="1" s="1"/>
  <c r="E19" i="1" s="1"/>
  <c r="H18" i="1"/>
  <c r="H19" i="1" s="1"/>
  <c r="E15" i="1"/>
  <c r="E10" i="1"/>
</calcChain>
</file>

<file path=xl/sharedStrings.xml><?xml version="1.0" encoding="utf-8"?>
<sst xmlns="http://schemas.openxmlformats.org/spreadsheetml/2006/main" count="33" uniqueCount="33">
  <si>
    <t>Age Group</t>
  </si>
  <si>
    <t>Population</t>
  </si>
  <si>
    <t>Male</t>
  </si>
  <si>
    <t>Female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</si>
  <si>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</si>
  <si>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</si>
  <si>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</si>
  <si>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</si>
  <si>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</si>
  <si>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</si>
  <si>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</si>
  <si>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</si>
  <si>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</si>
  <si>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</si>
  <si>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</si>
  <si>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</si>
  <si>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</si>
  <si>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5-9</t>
  </si>
  <si>
    <t>10-14</t>
  </si>
  <si>
    <t>SD</t>
  </si>
  <si>
    <t>Male age ratio</t>
  </si>
  <si>
    <t>Male deviation from 100</t>
  </si>
  <si>
    <t>Female age ratio</t>
  </si>
  <si>
    <t>Female deviation from 100</t>
  </si>
  <si>
    <t>M</t>
  </si>
  <si>
    <t>F</t>
  </si>
  <si>
    <t>Sex Ratio</t>
  </si>
  <si>
    <t>Successive difference</t>
  </si>
  <si>
    <t>Total</t>
  </si>
  <si>
    <t>Average</t>
  </si>
  <si>
    <t>UN Age Sex Accuracy Index</t>
  </si>
  <si>
    <t>a</t>
  </si>
  <si>
    <t>UNAI = 3(S) + M +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</si>
</sst>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0C6C-CB5B-4040-A208-6DE85CA88EFA}">
  <dimension ref="A1:J26"/>
  <sheetViews>
    <sheetView tabSelected="1" workbookViewId="0">
      <selection activeCell="H24" sqref="H24"/>
    </sheetView>
  </sheetViews>
  <sheetFormatPr defaultRowHeight="14.5" x14ac:dyDescent="0.35"/>
  <cols>
    <col min="1" max="1" width="10.453125" bestFit="1" customWidth="1"/>
    <col min="2" max="2" width="7.81640625" bestFit="1" customWidth="1"/>
    <col min="4" max="4" width="9.1796875" bestFit="1" customWidth="1"/>
    <col min="5" max="5" width="23" customWidth="1"/>
    <col min="6" max="6" width="14" bestFit="1" customWidth="1"/>
    <col min="7" max="7" width="23.453125" bestFit="1" customWidth="1"/>
    <col min="8" max="8" width="16" bestFit="1" customWidth="1"/>
    <col min="9" max="9" width="25.54296875" bestFit="1" customWidth="1"/>
  </cols>
  <sheetData>
    <row r="1" spans="1:9" ht="15.5" x14ac:dyDescent="0.35">
      <c r="A1" s="6" t="s">
        <v>0</v>
      </c>
      <c r="B1" s="8" t="s">
        <v>1</v>
      </c>
      <c r="C1" s="9"/>
      <c r="D1" s="8" t="s">
        <v>26</v>
      </c>
      <c r="E1" s="1" t="s">
        <v>27</v>
      </c>
      <c r="F1" s="1" t="s">
        <v>20</v>
      </c>
      <c r="G1" s="8" t="s">
        <v>21</v>
      </c>
      <c r="H1" s="1" t="s">
        <v>22</v>
      </c>
      <c r="I1" s="8" t="s">
        <v>23</v>
      </c>
    </row>
    <row r="2" spans="1:9" ht="15.5" x14ac:dyDescent="0.35">
      <c r="A2" s="7"/>
      <c r="B2" s="1" t="s">
        <v>2</v>
      </c>
      <c r="C2" s="1" t="s">
        <v>3</v>
      </c>
      <c r="D2" s="9"/>
      <c r="E2" s="1" t="s">
        <v>19</v>
      </c>
      <c r="F2" s="1" t="s">
        <v>24</v>
      </c>
      <c r="G2" s="9"/>
      <c r="H2" s="1" t="s">
        <v>25</v>
      </c>
      <c r="I2" s="9"/>
    </row>
    <row r="3" spans="1:9" x14ac:dyDescent="0.35">
      <c r="A3" s="2" t="s">
        <v>4</v>
      </c>
      <c r="B3" s="3">
        <v>1022001</v>
      </c>
      <c r="C3" s="3">
        <v>965554</v>
      </c>
      <c r="D3">
        <f>(B3/C3)*100</f>
        <v>105.84607386018803</v>
      </c>
    </row>
    <row r="4" spans="1:9" x14ac:dyDescent="0.35">
      <c r="A4" s="2" t="s">
        <v>17</v>
      </c>
      <c r="B4" s="3">
        <v>964956</v>
      </c>
      <c r="C4" s="3">
        <v>916269</v>
      </c>
      <c r="D4">
        <f t="shared" ref="D4:D17" si="0">(B4/C4)*100</f>
        <v>105.31361423337469</v>
      </c>
      <c r="E4">
        <f>ABS(D4-D3)</f>
        <v>0.53245962681333481</v>
      </c>
      <c r="F4">
        <f>((2*B4)/(B3+B5))*100</f>
        <v>103.58345315748032</v>
      </c>
      <c r="G4">
        <f>ABS(100-F4)</f>
        <v>3.5834531574803208</v>
      </c>
      <c r="H4">
        <f>((2*C4)/(C3+C5))*100</f>
        <v>103.84104744403324</v>
      </c>
      <c r="I4">
        <f>ABS(100-H4)</f>
        <v>3.8410474440332365</v>
      </c>
    </row>
    <row r="5" spans="1:9" x14ac:dyDescent="0.35">
      <c r="A5" s="2" t="s">
        <v>18</v>
      </c>
      <c r="B5" s="3">
        <v>841146</v>
      </c>
      <c r="C5" s="3">
        <v>799199</v>
      </c>
      <c r="D5">
        <f t="shared" si="0"/>
        <v>105.24863019097872</v>
      </c>
      <c r="E5">
        <f t="shared" ref="E5:E17" si="1">ABS(D5-D4)</f>
        <v>6.4984042395977326E-2</v>
      </c>
      <c r="F5">
        <f t="shared" ref="F5:F16" si="2">((2*B5)/(B4+B6))*100</f>
        <v>112.4238163466062</v>
      </c>
      <c r="G5">
        <f t="shared" ref="G5:G16" si="3">ABS(100-F5)</f>
        <v>12.423816346606202</v>
      </c>
      <c r="H5">
        <f t="shared" ref="H5:H16" si="4">((2*C5)/(C4+C6))*100</f>
        <v>112.61399504001804</v>
      </c>
      <c r="I5">
        <f t="shared" ref="I5:I16" si="5">ABS(100-H5)</f>
        <v>12.61399504001804</v>
      </c>
    </row>
    <row r="6" spans="1:9" x14ac:dyDescent="0.35">
      <c r="A6" s="2" t="s">
        <v>5</v>
      </c>
      <c r="B6" s="3">
        <v>531428</v>
      </c>
      <c r="C6" s="3">
        <v>503091</v>
      </c>
      <c r="D6">
        <f t="shared" si="0"/>
        <v>105.63257939418516</v>
      </c>
      <c r="E6">
        <f t="shared" si="1"/>
        <v>0.38394920320644133</v>
      </c>
      <c r="F6">
        <f t="shared" si="2"/>
        <v>91.627728945181431</v>
      </c>
      <c r="G6">
        <f t="shared" si="3"/>
        <v>8.3722710548185688</v>
      </c>
      <c r="H6">
        <f t="shared" si="4"/>
        <v>79.267374219286694</v>
      </c>
      <c r="I6">
        <f t="shared" si="5"/>
        <v>20.732625780713306</v>
      </c>
    </row>
    <row r="7" spans="1:9" x14ac:dyDescent="0.35">
      <c r="A7" s="2" t="s">
        <v>6</v>
      </c>
      <c r="B7" s="3">
        <v>318826</v>
      </c>
      <c r="C7" s="3">
        <v>470153</v>
      </c>
      <c r="D7">
        <f t="shared" si="0"/>
        <v>67.813243773835325</v>
      </c>
      <c r="E7">
        <f t="shared" si="1"/>
        <v>37.819335620349833</v>
      </c>
      <c r="F7">
        <f t="shared" si="2"/>
        <v>65.297470441377357</v>
      </c>
      <c r="G7">
        <f t="shared" si="3"/>
        <v>34.702529558622643</v>
      </c>
      <c r="H7">
        <f t="shared" si="4"/>
        <v>100.86133290999662</v>
      </c>
      <c r="I7">
        <f t="shared" si="5"/>
        <v>0.86133290999661938</v>
      </c>
    </row>
    <row r="8" spans="1:9" x14ac:dyDescent="0.35">
      <c r="A8" s="2" t="s">
        <v>7</v>
      </c>
      <c r="B8" s="3">
        <v>445106</v>
      </c>
      <c r="C8" s="3">
        <v>429185</v>
      </c>
      <c r="D8">
        <f t="shared" si="0"/>
        <v>103.70958910493144</v>
      </c>
      <c r="E8">
        <f t="shared" si="1"/>
        <v>35.896345331096114</v>
      </c>
      <c r="F8">
        <f t="shared" si="2"/>
        <v>119.95639478084874</v>
      </c>
      <c r="G8">
        <f t="shared" si="3"/>
        <v>19.95639478084874</v>
      </c>
      <c r="H8">
        <f t="shared" si="4"/>
        <v>101.2469951568652</v>
      </c>
      <c r="I8">
        <f t="shared" si="5"/>
        <v>1.2469951568651965</v>
      </c>
    </row>
    <row r="9" spans="1:9" x14ac:dyDescent="0.35">
      <c r="A9" s="2" t="s">
        <v>8</v>
      </c>
      <c r="B9" s="3">
        <v>423287</v>
      </c>
      <c r="C9" s="3">
        <v>377645</v>
      </c>
      <c r="D9">
        <f t="shared" si="0"/>
        <v>112.08595373962321</v>
      </c>
      <c r="E9">
        <f t="shared" si="1"/>
        <v>8.3763646346917682</v>
      </c>
      <c r="F9">
        <f t="shared" si="2"/>
        <v>100.09553469872282</v>
      </c>
      <c r="G9">
        <f t="shared" si="3"/>
        <v>9.5534698722815392E-2</v>
      </c>
      <c r="H9">
        <f t="shared" si="4"/>
        <v>100.0557712662727</v>
      </c>
      <c r="I9">
        <f t="shared" si="5"/>
        <v>5.5771266272699904E-2</v>
      </c>
    </row>
    <row r="10" spans="1:9" x14ac:dyDescent="0.35">
      <c r="A10" s="2" t="s">
        <v>9</v>
      </c>
      <c r="B10" s="3">
        <v>400660</v>
      </c>
      <c r="C10" s="3">
        <v>325684</v>
      </c>
      <c r="D10">
        <f t="shared" si="0"/>
        <v>123.02108792571941</v>
      </c>
      <c r="E10">
        <f t="shared" si="1"/>
        <v>10.935134186096207</v>
      </c>
      <c r="F10">
        <f t="shared" si="2"/>
        <v>105.52209284869618</v>
      </c>
      <c r="G10">
        <f t="shared" si="3"/>
        <v>5.5220928486961753</v>
      </c>
      <c r="H10">
        <f t="shared" si="4"/>
        <v>101.24172532830571</v>
      </c>
      <c r="I10">
        <f t="shared" si="5"/>
        <v>1.241725328305705</v>
      </c>
    </row>
    <row r="11" spans="1:9" x14ac:dyDescent="0.35">
      <c r="A11" s="2" t="s">
        <v>10</v>
      </c>
      <c r="B11" s="3">
        <v>336099</v>
      </c>
      <c r="C11" s="3">
        <v>265734</v>
      </c>
      <c r="D11">
        <f t="shared" si="0"/>
        <v>126.47948700580281</v>
      </c>
      <c r="E11">
        <f t="shared" si="1"/>
        <v>3.4583990800833959</v>
      </c>
      <c r="F11">
        <f t="shared" si="2"/>
        <v>100.17988318770297</v>
      </c>
      <c r="G11">
        <f t="shared" si="3"/>
        <v>0.17988318770296985</v>
      </c>
      <c r="H11">
        <f t="shared" si="4"/>
        <v>99.382538287488075</v>
      </c>
      <c r="I11">
        <f t="shared" si="5"/>
        <v>0.6174617125119255</v>
      </c>
    </row>
    <row r="12" spans="1:9" x14ac:dyDescent="0.35">
      <c r="A12" s="2" t="s">
        <v>11</v>
      </c>
      <c r="B12" s="3">
        <v>270331</v>
      </c>
      <c r="C12" s="3">
        <v>209086</v>
      </c>
      <c r="D12">
        <f t="shared" si="0"/>
        <v>129.29177467644891</v>
      </c>
      <c r="E12">
        <f t="shared" si="1"/>
        <v>2.8122876706461</v>
      </c>
      <c r="F12">
        <f t="shared" si="2"/>
        <v>94.342045797583964</v>
      </c>
      <c r="G12">
        <f t="shared" si="3"/>
        <v>5.6579542024160361</v>
      </c>
      <c r="H12">
        <f t="shared" si="4"/>
        <v>92.522479467572921</v>
      </c>
      <c r="I12">
        <f t="shared" si="5"/>
        <v>7.4775205324270786</v>
      </c>
    </row>
    <row r="13" spans="1:9" x14ac:dyDescent="0.35">
      <c r="A13" s="2" t="s">
        <v>12</v>
      </c>
      <c r="B13" s="3">
        <v>236988</v>
      </c>
      <c r="C13" s="3">
        <v>186234</v>
      </c>
      <c r="D13">
        <f t="shared" si="0"/>
        <v>127.25281097973517</v>
      </c>
      <c r="E13">
        <f t="shared" si="1"/>
        <v>2.0389636967137363</v>
      </c>
      <c r="F13">
        <f t="shared" si="2"/>
        <v>109.25335152778032</v>
      </c>
      <c r="G13">
        <f t="shared" si="3"/>
        <v>9.2533515277803247</v>
      </c>
      <c r="H13">
        <f t="shared" si="4"/>
        <v>105.67697235706848</v>
      </c>
      <c r="I13">
        <f t="shared" si="5"/>
        <v>5.6769723570684789</v>
      </c>
    </row>
    <row r="14" spans="1:9" x14ac:dyDescent="0.35">
      <c r="A14" s="2" t="s">
        <v>13</v>
      </c>
      <c r="B14" s="3">
        <v>163501</v>
      </c>
      <c r="C14" s="3">
        <v>143373</v>
      </c>
      <c r="D14">
        <f t="shared" si="0"/>
        <v>114.03890551219547</v>
      </c>
      <c r="E14">
        <f t="shared" si="1"/>
        <v>13.213905467539703</v>
      </c>
      <c r="F14">
        <f t="shared" si="2"/>
        <v>94.537117878681002</v>
      </c>
      <c r="G14">
        <f t="shared" si="3"/>
        <v>5.462882121318998</v>
      </c>
      <c r="H14">
        <f t="shared" si="4"/>
        <v>98.319880951564571</v>
      </c>
      <c r="I14">
        <f t="shared" si="5"/>
        <v>1.6801190484354294</v>
      </c>
    </row>
    <row r="15" spans="1:9" x14ac:dyDescent="0.35">
      <c r="A15" s="2" t="s">
        <v>14</v>
      </c>
      <c r="B15" s="3">
        <v>108910</v>
      </c>
      <c r="C15" s="3">
        <v>105412</v>
      </c>
      <c r="D15">
        <f t="shared" si="0"/>
        <v>103.31840777141122</v>
      </c>
      <c r="E15">
        <f t="shared" si="1"/>
        <v>10.720497740784253</v>
      </c>
      <c r="F15">
        <f t="shared" si="2"/>
        <v>94.354824736194615</v>
      </c>
      <c r="G15">
        <f t="shared" si="3"/>
        <v>5.6451752638053847</v>
      </c>
      <c r="H15">
        <f t="shared" si="4"/>
        <v>96.668791181581838</v>
      </c>
      <c r="I15">
        <f t="shared" si="5"/>
        <v>3.3312088184181619</v>
      </c>
    </row>
    <row r="16" spans="1:9" x14ac:dyDescent="0.35">
      <c r="A16" s="2" t="s">
        <v>15</v>
      </c>
      <c r="B16" s="3">
        <v>67351</v>
      </c>
      <c r="C16" s="3">
        <v>74716</v>
      </c>
      <c r="D16">
        <f t="shared" si="0"/>
        <v>90.142673590663307</v>
      </c>
      <c r="E16">
        <f t="shared" si="1"/>
        <v>13.175734180747909</v>
      </c>
      <c r="F16">
        <f t="shared" si="2"/>
        <v>92.580603036488725</v>
      </c>
      <c r="G16">
        <f t="shared" si="3"/>
        <v>7.4193969635112751</v>
      </c>
      <c r="H16">
        <f t="shared" si="4"/>
        <v>97.215571978765482</v>
      </c>
      <c r="I16">
        <f t="shared" si="5"/>
        <v>2.7844280212345183</v>
      </c>
    </row>
    <row r="17" spans="1:10" x14ac:dyDescent="0.35">
      <c r="A17" s="2" t="s">
        <v>16</v>
      </c>
      <c r="B17" s="3">
        <v>36587</v>
      </c>
      <c r="C17" s="3">
        <v>48300</v>
      </c>
      <c r="D17">
        <f t="shared" si="0"/>
        <v>75.749482401656309</v>
      </c>
      <c r="E17">
        <f t="shared" si="1"/>
        <v>14.393191189006998</v>
      </c>
    </row>
    <row r="18" spans="1:10" x14ac:dyDescent="0.35">
      <c r="A18" s="4" t="s">
        <v>28</v>
      </c>
      <c r="B18" s="5">
        <f>SUM(B3:B17)</f>
        <v>6167177</v>
      </c>
      <c r="C18" s="5">
        <f t="shared" ref="C18:I18" si="6">SUM(C3:C17)</f>
        <v>5819635</v>
      </c>
      <c r="D18" s="5">
        <f t="shared" si="6"/>
        <v>1594.9443141607492</v>
      </c>
      <c r="E18" s="5">
        <f t="shared" si="6"/>
        <v>153.82155167017174</v>
      </c>
      <c r="F18" s="5">
        <f t="shared" si="6"/>
        <v>1283.7543173833449</v>
      </c>
      <c r="G18" s="5">
        <f t="shared" si="6"/>
        <v>118.27473571233045</v>
      </c>
      <c r="H18" s="5">
        <f t="shared" si="6"/>
        <v>1288.9144755888194</v>
      </c>
      <c r="I18" s="5">
        <f t="shared" si="6"/>
        <v>62.161203416300395</v>
      </c>
    </row>
    <row r="19" spans="1:10" x14ac:dyDescent="0.35">
      <c r="A19" s="4" t="s">
        <v>29</v>
      </c>
      <c r="B19" s="5">
        <f>B18/15</f>
        <v>411145.13333333336</v>
      </c>
      <c r="C19" s="5">
        <f t="shared" ref="C19:D19" si="7">C18/15</f>
        <v>387975.66666666669</v>
      </c>
      <c r="D19" s="5">
        <f t="shared" si="7"/>
        <v>106.32962094404995</v>
      </c>
      <c r="E19" s="5">
        <f>E18/14</f>
        <v>10.987253690726552</v>
      </c>
      <c r="F19" s="5">
        <f>F18/13</f>
        <v>98.75033210641115</v>
      </c>
      <c r="G19" s="5">
        <f t="shared" ref="G19:I19" si="8">G18/13</f>
        <v>9.0980565932561888</v>
      </c>
      <c r="H19" s="5">
        <f t="shared" si="8"/>
        <v>99.147267352986105</v>
      </c>
      <c r="I19" s="5">
        <f t="shared" si="8"/>
        <v>4.7816310320231077</v>
      </c>
    </row>
    <row r="22" spans="1:10" x14ac:dyDescent="0.35">
      <c r="C22" s="10" t="s">
        <v>30</v>
      </c>
      <c r="D22" s="10"/>
      <c r="E22" s="10"/>
      <c r="F22" s="10">
        <f>(3*E19)+G19+I19</f>
        <v>46.841448697458951</v>
      </c>
    </row>
    <row r="23" spans="1:10" ht="14.5" customHeight="1" x14ac:dyDescent="0.35">
      <c r="C23" s="10"/>
      <c r="D23" s="10"/>
      <c r="E23" s="10"/>
      <c r="F23" s="10"/>
    </row>
    <row r="24" spans="1:10" ht="30" x14ac:dyDescent="0.6">
      <c r="F24" s="11" t="s">
        <v>32</v>
      </c>
    </row>
    <row r="25" spans="1:10" x14ac:dyDescent="0.35">
      <c r="H25" s="10" t="s">
        <v>31</v>
      </c>
      <c r="I25" s="10"/>
      <c r="J25" s="10"/>
    </row>
    <row r="26" spans="1:10" x14ac:dyDescent="0.35">
      <c r="H26" s="10"/>
      <c r="I26" s="10"/>
      <c r="J26" s="10"/>
    </row>
  </sheetData>
  <mergeCells count="8">
    <mergeCell ref="A1:A2"/>
    <mergeCell ref="G1:G2"/>
    <mergeCell ref="H25:J26"/>
    <mergeCell ref="I1:I2"/>
    <mergeCell ref="D1:D2"/>
    <mergeCell ref="C22:E23"/>
    <mergeCell ref="F22:F2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UN-age-sex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Statistics</cp:lastModifiedBy>
  <dcterms:created xsi:type="dcterms:W3CDTF">2024-10-16T04:02:54Z</dcterms:created>
  <dcterms:modified xsi:type="dcterms:W3CDTF">2026-05-04T05:31:25Z</dcterms:modified>
</cp:coreProperties>
</file>