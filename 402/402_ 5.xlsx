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1E97D94D-4E1B-447C-8BC9-1A6335FBC17D}" xr6:coauthVersionLast="47" xr6:coauthVersionMax="47" xr10:uidLastSave="{00000000-0000-0000-0000-000000000000}"/>
  <bookViews>
    <workbookView xWindow="-90" yWindow="0" windowWidth="11700" windowHeight="10890" xr2:uid="{9F89C2FA-74D8-4A64-A4C2-EF226132D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4" i="1"/>
  <c r="F4" i="1"/>
  <c r="E15" i="1"/>
  <c r="E17" i="1"/>
  <c r="E16" i="1"/>
  <c r="I11" i="1"/>
  <c r="D11" i="1"/>
  <c r="E11" i="1"/>
  <c r="F11" i="1"/>
  <c r="G11" i="1"/>
  <c r="H11" i="1"/>
  <c r="C11" i="1"/>
  <c r="I5" i="1"/>
  <c r="I6" i="1"/>
  <c r="I7" i="1"/>
  <c r="I8" i="1"/>
  <c r="I9" i="1"/>
  <c r="I10" i="1"/>
  <c r="I4" i="1"/>
  <c r="G5" i="1"/>
  <c r="G6" i="1"/>
  <c r="G7" i="1"/>
  <c r="G8" i="1"/>
  <c r="G9" i="1"/>
  <c r="G10" i="1"/>
  <c r="G4" i="1"/>
  <c r="E5" i="1"/>
  <c r="E6" i="1"/>
  <c r="E7" i="1"/>
  <c r="E8" i="1"/>
  <c r="E9" i="1"/>
  <c r="E10" i="1"/>
  <c r="F5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<sst xmlns="http://schemas.openxmlformats.org/spreadsheetml/2006/main" count="19" uniqueCount="19">
  <si>
    <t>Age</t>
  </si>
  <si>
    <t>No. of women</t>
  </si>
  <si>
    <t>Total birth</t>
  </si>
  <si>
    <t>15-19</t>
  </si>
  <si>
    <t>20-24</t>
  </si>
  <si>
    <t>25-29</t>
  </si>
  <si>
    <t>30-34</t>
  </si>
  <si>
    <t>45-39</t>
  </si>
  <si>
    <t>40-44</t>
  </si>
  <si>
    <t>45-49</t>
  </si>
  <si>
    <t>ASFRi</t>
  </si>
  <si>
    <t>Female birth</t>
  </si>
  <si>
    <t>ASFRfi</t>
  </si>
  <si>
    <t>Survival factor</t>
  </si>
  <si>
    <t>Total</t>
  </si>
  <si>
    <t>GFR</t>
  </si>
  <si>
    <t>TFR</t>
  </si>
  <si>
    <t>GRR</t>
  </si>
  <si>
    <t>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</si>
</sst>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67ED-CD22-4E72-B9B5-447266D03EDB}">
  <dimension ref="B3:I18"/>
  <sheetViews>
    <sheetView tabSelected="1" workbookViewId="0">
      <selection activeCell="E18" sqref="E18"/>
    </sheetView>
  </sheetViews>
  <sheetFormatPr defaultRowHeight="14.5" x14ac:dyDescent="0.35"/>
  <cols>
    <col min="3" max="3" width="12.6328125" bestFit="1" customWidth="1"/>
    <col min="4" max="4" width="9.453125" bestFit="1" customWidth="1"/>
    <col min="6" max="6" width="14.453125" bestFit="1" customWidth="1"/>
    <col min="8" max="8" width="12.6328125" bestFit="1" customWidth="1"/>
  </cols>
  <sheetData>
    <row r="3" spans="2:9" x14ac:dyDescent="0.35">
      <c r="B3" t="s">
        <v>0</v>
      </c>
      <c r="C3" t="s">
        <v>1</v>
      </c>
      <c r="D3" t="s">
        <v>2</v>
      </c>
      <c r="E3" s="3" t="s">
        <v>10</v>
      </c>
      <c r="F3" t="s">
        <v>11</v>
      </c>
      <c r="G3" s="3" t="s">
        <v>12</v>
      </c>
      <c r="H3" t="s">
        <v>13</v>
      </c>
    </row>
    <row r="4" spans="2:9" x14ac:dyDescent="0.35">
      <c r="B4" t="s">
        <v>3</v>
      </c>
      <c r="C4">
        <v>4704852</v>
      </c>
      <c r="D4">
        <v>148505</v>
      </c>
      <c r="E4" s="2">
        <f>D4/C4</f>
        <v>3.1564223486732421E-2</v>
      </c>
      <c r="F4" s="1">
        <f>D4/2.08</f>
        <v>71396.63461538461</v>
      </c>
      <c r="G4" s="2">
        <f>F4/C4</f>
        <v>1.5175107445544431E-2</v>
      </c>
      <c r="H4">
        <v>0.98</v>
      </c>
      <c r="I4">
        <f>G4*H4</f>
        <v>1.4871605296633542E-2</v>
      </c>
    </row>
    <row r="5" spans="2:9" x14ac:dyDescent="0.35">
      <c r="B5" t="s">
        <v>4</v>
      </c>
      <c r="C5">
        <v>5037627</v>
      </c>
      <c r="D5">
        <v>855994</v>
      </c>
      <c r="E5" s="2">
        <f t="shared" ref="E5:E10" si="0">D5/C5</f>
        <v>0.16992008340434892</v>
      </c>
      <c r="F5" s="1">
        <f t="shared" ref="F5:F10" si="1">D5/2.08</f>
        <v>411535.57692307694</v>
      </c>
      <c r="G5" s="2">
        <f t="shared" ref="G5:G10" si="2">F5/C5</f>
        <v>8.1692347790552358E-2</v>
      </c>
      <c r="H5">
        <v>0.97699999999999998</v>
      </c>
      <c r="I5">
        <f t="shared" ref="I5:I10" si="3">G5*H5</f>
        <v>7.9813423791369659E-2</v>
      </c>
    </row>
    <row r="6" spans="2:9" x14ac:dyDescent="0.35">
      <c r="B6" t="s">
        <v>5</v>
      </c>
      <c r="C6">
        <v>4962900</v>
      </c>
      <c r="D6">
        <v>1027579</v>
      </c>
      <c r="E6" s="2">
        <f t="shared" si="0"/>
        <v>0.20705212678071289</v>
      </c>
      <c r="F6" s="1">
        <f t="shared" si="1"/>
        <v>494028.36538461538</v>
      </c>
      <c r="G6" s="2">
        <f t="shared" si="2"/>
        <v>9.9544291721496578E-2</v>
      </c>
      <c r="H6">
        <v>0.97399999999999998</v>
      </c>
      <c r="I6">
        <f t="shared" si="3"/>
        <v>9.6956140136737659E-2</v>
      </c>
    </row>
    <row r="7" spans="2:9" x14ac:dyDescent="0.35">
      <c r="B7" t="s">
        <v>6</v>
      </c>
      <c r="C7">
        <v>3321030</v>
      </c>
      <c r="D7">
        <v>501110</v>
      </c>
      <c r="E7" s="2">
        <f t="shared" si="0"/>
        <v>0.15088993474915915</v>
      </c>
      <c r="F7" s="1">
        <f t="shared" si="1"/>
        <v>240918.26923076922</v>
      </c>
      <c r="G7" s="2">
        <f t="shared" si="2"/>
        <v>7.2543237860172666E-2</v>
      </c>
      <c r="H7">
        <v>0.97</v>
      </c>
      <c r="I7">
        <f t="shared" si="3"/>
        <v>7.0366940724367485E-2</v>
      </c>
    </row>
    <row r="8" spans="2:9" x14ac:dyDescent="0.35">
      <c r="B8" t="s">
        <v>7</v>
      </c>
      <c r="C8">
        <v>2798413</v>
      </c>
      <c r="D8">
        <v>222705</v>
      </c>
      <c r="E8" s="2">
        <f t="shared" si="0"/>
        <v>7.9582606284347587E-2</v>
      </c>
      <c r="F8" s="1">
        <f t="shared" si="1"/>
        <v>107069.71153846153</v>
      </c>
      <c r="G8" s="2">
        <f t="shared" si="2"/>
        <v>3.8260868405936344E-2</v>
      </c>
      <c r="H8">
        <v>0.96599999999999997</v>
      </c>
      <c r="I8">
        <f t="shared" si="3"/>
        <v>3.6959998880134508E-2</v>
      </c>
    </row>
    <row r="9" spans="2:9" x14ac:dyDescent="0.35">
      <c r="B9" t="s">
        <v>8</v>
      </c>
      <c r="C9">
        <v>2224489</v>
      </c>
      <c r="D9">
        <v>61040</v>
      </c>
      <c r="E9" s="2">
        <f t="shared" si="0"/>
        <v>2.7440009817985164E-2</v>
      </c>
      <c r="F9" s="1">
        <f t="shared" si="1"/>
        <v>29346.153846153844</v>
      </c>
      <c r="G9" s="2">
        <f t="shared" si="2"/>
        <v>1.3192312412492866E-2</v>
      </c>
      <c r="H9">
        <v>0.95899999999999996</v>
      </c>
      <c r="I9">
        <f t="shared" si="3"/>
        <v>1.2651427603580657E-2</v>
      </c>
    </row>
    <row r="10" spans="2:9" x14ac:dyDescent="0.35">
      <c r="B10" t="s">
        <v>9</v>
      </c>
      <c r="C10">
        <v>1678304</v>
      </c>
      <c r="D10">
        <v>4934</v>
      </c>
      <c r="E10" s="2">
        <f t="shared" si="0"/>
        <v>2.9398726333250708E-3</v>
      </c>
      <c r="F10" s="1">
        <f t="shared" si="1"/>
        <v>2372.1153846153848</v>
      </c>
      <c r="G10" s="2">
        <f t="shared" si="2"/>
        <v>1.4134003044832073E-3</v>
      </c>
      <c r="H10">
        <v>0.94799999999999995</v>
      </c>
      <c r="I10">
        <f t="shared" si="3"/>
        <v>1.3399034886500804E-3</v>
      </c>
    </row>
    <row r="11" spans="2:9" x14ac:dyDescent="0.35">
      <c r="B11" s="2" t="s">
        <v>14</v>
      </c>
      <c r="C11" s="2">
        <f>SUM(C4:C10)</f>
        <v>24727615</v>
      </c>
      <c r="D11" s="2">
        <f t="shared" ref="D11:H11" si="4">SUM(D4:D10)</f>
        <v>2821867</v>
      </c>
      <c r="E11" s="2">
        <f t="shared" si="4"/>
        <v>0.66938885715661112</v>
      </c>
      <c r="F11" s="4">
        <f t="shared" si="4"/>
        <v>1356666.826923077</v>
      </c>
      <c r="G11" s="2">
        <f t="shared" si="4"/>
        <v>0.32182156594067846</v>
      </c>
      <c r="H11" s="2">
        <f t="shared" si="4"/>
        <v>6.7739999999999991</v>
      </c>
      <c r="I11" s="2">
        <f>SUM(I4:I10)</f>
        <v>0.31295943992147363</v>
      </c>
    </row>
    <row r="15" spans="2:9" x14ac:dyDescent="0.35">
      <c r="D15" s="3" t="s">
        <v>15</v>
      </c>
      <c r="E15" s="3">
        <f>(D11/C11)*1000</f>
        <v>114.11804171166527</v>
      </c>
    </row>
    <row r="16" spans="2:9" x14ac:dyDescent="0.35">
      <c r="D16" s="3" t="s">
        <v>16</v>
      </c>
      <c r="E16" s="3">
        <f>5*E11</f>
        <v>3.3469442857830556</v>
      </c>
    </row>
    <row r="17" spans="4:5" x14ac:dyDescent="0.35">
      <c r="D17" s="3" t="s">
        <v>17</v>
      </c>
      <c r="E17" s="3">
        <f>5*G11</f>
        <v>1.6091078297033923</v>
      </c>
    </row>
    <row r="18" spans="4:5" x14ac:dyDescent="0.35">
      <c r="D18" s="3" t="s">
        <v>18</v>
      </c>
      <c r="E18" s="3">
        <f>5*I11</f>
        <v>1.5647971996073682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2024-10-16T04:25:18Z</dcterms:created>
  <dcterms:modified xsi:type="dcterms:W3CDTF">2024-10-18T08:26:01Z</dcterms:modified>
</cp:coreProperties>
</file>