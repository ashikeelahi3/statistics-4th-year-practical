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theme/theme1.xml" ContentType="application/vnd.openxmlformats-officedocument.theme+xml"/>
  <Override PartName="/xl/charts/chart2.xml" ContentType="application/vnd.openxmlformats-officedocument.drawingml.chart+xml"/>
  <Override PartName="/xl/worksheets/sheet7.xml" ContentType="application/vnd.openxmlformats-officedocument.spreadsheetml.worksheet+xml"/>
  <Override PartName="/xl/drawings/drawing1.xml" ContentType="application/vnd.openxmlformats-officedocument.drawingml.chartshap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6"/>
  </bookViews>
  <sheets>
    <sheet name="Sheet1" sheetId="1" state="visible" r:id="rId1"/>
    <sheet name="Sheet2" sheetId="2" state="visible" r:id="rId2"/>
    <sheet name="Answer Report 1" sheetId="3" state="visible" r:id="rId3"/>
    <sheet name="Sensitivity Report 1" sheetId="4" state="visible" r:id="rId4"/>
    <sheet name="Limits Report 1" sheetId="5" state="visible" r:id="rId5"/>
    <sheet name="Sheet3" sheetId="6" state="visible" r:id="rId6"/>
    <sheet name="Sheet4" sheetId="7" state="visible" r:id="rId7"/>
    <sheet name="Sheet5" sheetId="8" state="visible" r:id="rId8"/>
    <sheet name="Sheet6" sheetId="9" state="visible" r:id="rId9"/>
  </sheets>
  <definedNames>
    <definedName name="solver_sho" localSheetId="4" hidden="1">2</definedName>
    <definedName name="solver_adj" localSheetId="5" hidden="1">Sheet3!$B$17:$C$17</definedName>
    <definedName name="solver_cvg" localSheetId="5" hidden="1">0.0001</definedName>
    <definedName name="solver_drv" localSheetId="5" hidden="1">1</definedName>
    <definedName name="solver_eng" localSheetId="5" hidden="1">2</definedName>
    <definedName name="solver_est" localSheetId="5" hidden="1">1</definedName>
    <definedName name="solver_itr" localSheetId="5" hidden="1">2147483647</definedName>
    <definedName name="solver_lhs1" localSheetId="5" hidden="1">Sheet3!$D$21:$D$22</definedName>
    <definedName name="solver_lhs2" localSheetId="5" hidden="1">Sheet3!$D$8</definedName>
    <definedName name="solver_mip" localSheetId="5" hidden="1">2147483647</definedName>
    <definedName name="solver_mni" localSheetId="5" hidden="1">30</definedName>
    <definedName name="solver_mrt" localSheetId="5" hidden="1">0.075</definedName>
    <definedName name="solver_msl" localSheetId="5" hidden="1">2</definedName>
    <definedName name="solver_neg" localSheetId="5" hidden="1">1</definedName>
    <definedName name="solver_nod" localSheetId="5" hidden="1">2147483647</definedName>
    <definedName name="solver_num" localSheetId="5" hidden="1">1</definedName>
    <definedName name="solver_nwt" localSheetId="5" hidden="1">1</definedName>
    <definedName name="solver_opt" localSheetId="5" hidden="1">Sheet3!$D$17</definedName>
    <definedName name="solver_pre" localSheetId="5" hidden="1">0.000001</definedName>
    <definedName name="solver_rbv" localSheetId="5" hidden="1">2</definedName>
    <definedName name="solver_rel1" localSheetId="5" hidden="1">1</definedName>
    <definedName name="solver_rel2" localSheetId="5" hidden="1">1</definedName>
    <definedName name="solver_rhs1" localSheetId="5" hidden="1">Sheet3!$F$21:$F$22</definedName>
    <definedName name="solver_rhs2" localSheetId="5" hidden="1">Sheet3!$F$8</definedName>
    <definedName name="solver_rlx" localSheetId="5" hidden="1">2</definedName>
    <definedName name="solver_rsd" localSheetId="5" hidden="1">0</definedName>
    <definedName name="solver_scl" localSheetId="5" hidden="1">2</definedName>
    <definedName name="solver_sho" localSheetId="5" hidden="1">2</definedName>
    <definedName name="solver_ssz" localSheetId="5" hidden="1">0</definedName>
    <definedName name="solver_tim" localSheetId="5" hidden="1">2147483647</definedName>
    <definedName name="solver_tol" localSheetId="5" hidden="1">0.01</definedName>
    <definedName name="solver_typ" localSheetId="5" hidden="1">1</definedName>
    <definedName name="solver_val" localSheetId="5" hidden="1">0</definedName>
    <definedName name="solver_ver" localSheetId="5" hidden="1">3</definedName>
    <definedName name="solver_adj" localSheetId="6" hidden="1">Sheet4!$C$5:$E$7</definedName>
    <definedName name="solver_cvg" localSheetId="6" hidden="1">0.0001</definedName>
    <definedName name="solver_drv" localSheetId="6" hidden="1">1</definedName>
    <definedName name="solver_eng" localSheetId="6" hidden="1">2</definedName>
    <definedName name="solver_est" localSheetId="6" hidden="1">1</definedName>
    <definedName name="solver_itr" localSheetId="6" hidden="1">2147483647</definedName>
    <definedName name="solver_lhs1" localSheetId="6" hidden="1">Sheet4!$C$8:$E$8</definedName>
    <definedName name="solver_lhs2" localSheetId="6" hidden="1">Sheet4!$F$5:$F$7</definedName>
    <definedName name="solver_mip" localSheetId="6" hidden="1">2147483647</definedName>
    <definedName name="solver_mni" localSheetId="6" hidden="1">30</definedName>
    <definedName name="solver_mrt" localSheetId="6" hidden="1">0.075</definedName>
    <definedName name="solver_msl" localSheetId="6" hidden="1">2</definedName>
    <definedName name="solver_neg" localSheetId="6" hidden="1">1</definedName>
    <definedName name="solver_nod" localSheetId="6" hidden="1">2147483647</definedName>
    <definedName name="solver_num" localSheetId="6" hidden="1">2</definedName>
    <definedName name="solver_nwt" localSheetId="6" hidden="1">1</definedName>
    <definedName name="solver_opt" localSheetId="6" hidden="1">Sheet4!$B$11</definedName>
    <definedName name="solver_pre" localSheetId="6" hidden="1">0.000001</definedName>
    <definedName name="solver_rbv" localSheetId="6" hidden="1">1</definedName>
    <definedName name="solver_rel1" localSheetId="6" hidden="1">3</definedName>
    <definedName name="solver_rel2" localSheetId="6" hidden="1">1</definedName>
    <definedName name="solver_rhs1" localSheetId="6" hidden="1">Sheet4!$C$9:$E$9</definedName>
    <definedName name="solver_rhs2" localSheetId="6" hidden="1">Sheet4!$G$5:$G$7</definedName>
    <definedName name="solver_rlx" localSheetId="6" hidden="1">2</definedName>
    <definedName name="solver_rsd" localSheetId="6" hidden="1">0</definedName>
    <definedName name="solver_scl" localSheetId="6" hidden="1">1</definedName>
    <definedName name="solver_sho" localSheetId="6" hidden="1">2</definedName>
    <definedName name="solver_ssz" localSheetId="6" hidden="1">100</definedName>
    <definedName name="solver_tim" localSheetId="6" hidden="1">2147483647</definedName>
    <definedName name="solver_tol" localSheetId="6" hidden="1">0.01</definedName>
    <definedName name="solver_typ" localSheetId="6" hidden="1">2</definedName>
    <definedName name="solver_val" localSheetId="6" hidden="1">0</definedName>
    <definedName name="solver_ver" localSheetId="6" hidden="1">3</definedName>
    <definedName name="solver_adj" localSheetId="7" hidden="1">Sheet5!$K$30:$N$32</definedName>
    <definedName name="solver_cvg" localSheetId="7" hidden="1">0.0001</definedName>
    <definedName name="solver_drv" localSheetId="7" hidden="1">1</definedName>
    <definedName name="solver_eng" localSheetId="7" hidden="1">2</definedName>
    <definedName name="solver_est" localSheetId="7" hidden="1">1</definedName>
    <definedName name="solver_itr" localSheetId="7" hidden="1">2147483647</definedName>
    <definedName name="solver_lhs1" localSheetId="7" hidden="1">Sheet5!$K$33:$N$33</definedName>
    <definedName name="solver_lhs2" localSheetId="7" hidden="1">Sheet5!$O$30:$O$32</definedName>
    <definedName name="solver_mip" localSheetId="7" hidden="1">2147483647</definedName>
    <definedName name="solver_mni" localSheetId="7" hidden="1">30</definedName>
    <definedName name="solver_mrt" localSheetId="7" hidden="1">0.075</definedName>
    <definedName name="solver_msl" localSheetId="7" hidden="1">2</definedName>
    <definedName name="solver_neg" localSheetId="7" hidden="1">1</definedName>
    <definedName name="solver_nod" localSheetId="7" hidden="1">2147483647</definedName>
    <definedName name="solver_num" localSheetId="7" hidden="1">2</definedName>
    <definedName name="solver_nwt" localSheetId="7" hidden="1">1</definedName>
    <definedName name="solver_opt" localSheetId="7" hidden="1">Sheet5!$K$36</definedName>
    <definedName name="solver_pre" localSheetId="7" hidden="1">0.000001</definedName>
    <definedName name="solver_rbv" localSheetId="7" hidden="1">1</definedName>
    <definedName name="solver_rel1" localSheetId="7" hidden="1">3</definedName>
    <definedName name="solver_rel2" localSheetId="7" hidden="1">1</definedName>
    <definedName name="solver_rhs1" localSheetId="7" hidden="1">Sheet5!$K$34:$N$34</definedName>
    <definedName name="solver_rhs2" localSheetId="7" hidden="1">Sheet5!$P$30:$P$32</definedName>
    <definedName name="solver_rlx" localSheetId="7" hidden="1">2</definedName>
    <definedName name="solver_rsd" localSheetId="7" hidden="1">0</definedName>
    <definedName name="solver_scl" localSheetId="7" hidden="1">1</definedName>
    <definedName name="solver_sho" localSheetId="7" hidden="1">2</definedName>
    <definedName name="solver_ssz" localSheetId="7" hidden="1">100</definedName>
    <definedName name="solver_tim" localSheetId="7" hidden="1">2147483647</definedName>
    <definedName name="solver_tol" localSheetId="7" hidden="1">0.01</definedName>
    <definedName name="solver_typ" localSheetId="7" hidden="1">2</definedName>
    <definedName name="solver_val" localSheetId="7" hidden="1">0</definedName>
    <definedName name="solver_ver" localSheetId="7" hidden="1">3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<sst xmlns="http://schemas.openxmlformats.org/spreadsheetml/2006/main" count="130" uniqueCount="130">
  <si>
    <t>n</t>
  </si>
  <si>
    <t>x1</t>
  </si>
  <si>
    <t>x2</t>
  </si>
  <si>
    <t>C1</t>
  </si>
  <si>
    <t>=</t>
  </si>
  <si>
    <t>c1</t>
  </si>
  <si>
    <t>c2</t>
  </si>
  <si>
    <t>c3</t>
  </si>
  <si>
    <t>l1</t>
  </si>
  <si>
    <t>l2</t>
  </si>
  <si>
    <t>l3</t>
  </si>
  <si>
    <t>l4</t>
  </si>
  <si>
    <t>l5</t>
  </si>
  <si>
    <t xml:space="preserve">2 No.</t>
  </si>
  <si>
    <t>s1</t>
  </si>
  <si>
    <t>s2</t>
  </si>
  <si>
    <t>cj</t>
  </si>
  <si>
    <t>RHS</t>
  </si>
  <si>
    <t>Ratio</t>
  </si>
  <si>
    <t>S1</t>
  </si>
  <si>
    <t>S2</t>
  </si>
  <si>
    <t>zj</t>
  </si>
  <si>
    <t>zj-cj</t>
  </si>
  <si>
    <t xml:space="preserve">1 No. Incomplete</t>
  </si>
  <si>
    <t>Z(0,0)</t>
  </si>
  <si>
    <t>Z(0,20)</t>
  </si>
  <si>
    <t xml:space="preserve">Microsoft Excel 14.0 Answer Report</t>
  </si>
  <si>
    <t xml:space="preserve">Worksheet: [405-practical.xlsx]Sheet3</t>
  </si>
  <si>
    <t xml:space="preserve">Report Created: 8/30/2026 1:08:34 PM</t>
  </si>
  <si>
    <t xml:space="preserve">Result: Solver found a solution.  All Constraints and optimality conditions are satisfied.</t>
  </si>
  <si>
    <t xml:space="preserve">Solver Engine</t>
  </si>
  <si>
    <t xml:space="preserve">Engine: Simplex LP</t>
  </si>
  <si>
    <t xml:space="preserve">Solution Time: 0.015 Seconds.</t>
  </si>
  <si>
    <t xml:space="preserve">Iterations: 3 Subproblems: 0</t>
  </si>
  <si>
    <t xml:space="preserve">Solver Options</t>
  </si>
  <si>
    <t xml:space="preserve">Max Time Unlimited,  Iterations Unlimited, Precision </t>
  </si>
  <si>
    <t xml:space="preserve">Max Subproblems Unlimited, Max Integer Sols Unlimited, Integer Tolerance %, Assume NonNegative</t>
  </si>
  <si>
    <t xml:space="preserve">Objective Cell (Max)</t>
  </si>
  <si>
    <t>Cell</t>
  </si>
  <si>
    <t>Name</t>
  </si>
  <si>
    <t xml:space="preserve">Original Value</t>
  </si>
  <si>
    <t xml:space="preserve">Final Value</t>
  </si>
  <si>
    <t>$L$5</t>
  </si>
  <si>
    <t xml:space="preserve">Variable Cells</t>
  </si>
  <si>
    <t>Integer</t>
  </si>
  <si>
    <t>$I$5</t>
  </si>
  <si>
    <t>Contin</t>
  </si>
  <si>
    <t>$J$5</t>
  </si>
  <si>
    <t>$K$5</t>
  </si>
  <si>
    <t>x3</t>
  </si>
  <si>
    <t>Constraints</t>
  </si>
  <si>
    <t xml:space="preserve">Cell Value</t>
  </si>
  <si>
    <t>Formula</t>
  </si>
  <si>
    <t>Status</t>
  </si>
  <si>
    <t>Slack</t>
  </si>
  <si>
    <t>$L$9</t>
  </si>
  <si>
    <t>$L$9&lt;=$M$9</t>
  </si>
  <si>
    <t>Binding</t>
  </si>
  <si>
    <t>$L$10</t>
  </si>
  <si>
    <t>$L$10&lt;=$M$10</t>
  </si>
  <si>
    <t>$L$11</t>
  </si>
  <si>
    <t>$L$11&lt;=$M$11</t>
  </si>
  <si>
    <t xml:space="preserve">Not Binding</t>
  </si>
  <si>
    <t xml:space="preserve">Microsoft Excel 14.0 Sensitivity Report</t>
  </si>
  <si>
    <t>Final</t>
  </si>
  <si>
    <t>Reduced</t>
  </si>
  <si>
    <t>Objective</t>
  </si>
  <si>
    <t>Allowable</t>
  </si>
  <si>
    <t>Value</t>
  </si>
  <si>
    <t>Cost</t>
  </si>
  <si>
    <t>Coefficient</t>
  </si>
  <si>
    <t>Increase</t>
  </si>
  <si>
    <t>Decrease</t>
  </si>
  <si>
    <t>ul</t>
  </si>
  <si>
    <t>Shadow</t>
  </si>
  <si>
    <t>Constraint</t>
  </si>
  <si>
    <t>Price</t>
  </si>
  <si>
    <t xml:space="preserve">R.H. Side</t>
  </si>
  <si>
    <t xml:space="preserve">Microsoft Excel 14.0 Limits Report</t>
  </si>
  <si>
    <t>Variable</t>
  </si>
  <si>
    <t>Lower</t>
  </si>
  <si>
    <t>Upper</t>
  </si>
  <si>
    <t>Limit</t>
  </si>
  <si>
    <t>Result</t>
  </si>
  <si>
    <t xml:space="preserve">2 no. solved by solver</t>
  </si>
  <si>
    <t xml:space="preserve">Similar type problem of 2</t>
  </si>
  <si>
    <t>Obj</t>
  </si>
  <si>
    <t>&lt;=</t>
  </si>
  <si>
    <t xml:space="preserve">2 no.</t>
  </si>
  <si>
    <t>obj</t>
  </si>
  <si>
    <t xml:space="preserve">3 no.</t>
  </si>
  <si>
    <t>Source</t>
  </si>
  <si>
    <t>Destination</t>
  </si>
  <si>
    <t>supply</t>
  </si>
  <si>
    <t>D</t>
  </si>
  <si>
    <t>E</t>
  </si>
  <si>
    <t>F</t>
  </si>
  <si>
    <t>A</t>
  </si>
  <si>
    <t>B</t>
  </si>
  <si>
    <t>C</t>
  </si>
  <si>
    <t>Total</t>
  </si>
  <si>
    <t>Demand</t>
  </si>
  <si>
    <t>TC</t>
  </si>
  <si>
    <t>Factories</t>
  </si>
  <si>
    <t>Warehouse</t>
  </si>
  <si>
    <t>Supply</t>
  </si>
  <si>
    <t>W1</t>
  </si>
  <si>
    <t>w2</t>
  </si>
  <si>
    <t>W3</t>
  </si>
  <si>
    <t>W4</t>
  </si>
  <si>
    <t>W5</t>
  </si>
  <si>
    <t>DV</t>
  </si>
  <si>
    <t>F1</t>
  </si>
  <si>
    <t>F2</t>
  </si>
  <si>
    <t>F3</t>
  </si>
  <si>
    <t>F4</t>
  </si>
  <si>
    <t>F5</t>
  </si>
  <si>
    <t>F6</t>
  </si>
  <si>
    <t>P</t>
  </si>
  <si>
    <t>Q</t>
  </si>
  <si>
    <t>R</t>
  </si>
  <si>
    <t>S</t>
  </si>
  <si>
    <t>Observation</t>
  </si>
  <si>
    <t>Sample</t>
  </si>
  <si>
    <t>ni</t>
  </si>
  <si>
    <t>Average</t>
  </si>
  <si>
    <t>Min</t>
  </si>
  <si>
    <t>Max</t>
  </si>
  <si>
    <t>UL</t>
  </si>
  <si>
    <t>LL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</si>
</sst>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1.000000"/>
      <color indexed="2"/>
      <name val="Calibri"/>
      <scheme val="minor"/>
    </font>
    <font>
      <b/>
      <sz val="11.000000"/>
      <color theme="1"/>
      <name val="Calibri"/>
      <scheme val="minor"/>
    </font>
    <font>
      <b/>
      <sz val="11.000000"/>
      <color indexed="18"/>
      <name val="Calibri"/>
      <scheme val="minor"/>
    </font>
    <font>
      <b/>
      <sz val="11.000000"/>
      <color indexed="2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theme="0"/>
      </patternFill>
    </fill>
    <fill>
      <patternFill patternType="solid">
        <fgColor theme="2" tint="-0.249977111117893"/>
      </patternFill>
    </fill>
    <fill>
      <patternFill patternType="solid">
        <fgColor theme="8" tint="0.59999389629810485"/>
      </patternFill>
    </fill>
    <fill>
      <patternFill patternType="solid">
        <fgColor theme="6" tint="0.59999389629810485"/>
      </patternFill>
    </fill>
    <fill>
      <patternFill patternType="solid">
        <fgColor theme="9" tint="0.79998168889431442"/>
      </patternFill>
    </fill>
  </fills>
  <borders count="16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none"/>
      <right style="none"/>
      <top style="medium">
        <color indexed="23"/>
      </top>
      <bottom style="medium">
        <color indexed="23"/>
      </bottom>
      <diagonal style="none"/>
    </border>
    <border>
      <left style="none"/>
      <right style="none"/>
      <top style="thin">
        <color indexed="23"/>
      </top>
      <bottom style="medium">
        <color indexed="23"/>
      </bottom>
      <diagonal style="none"/>
    </border>
    <border>
      <left style="none"/>
      <right style="none"/>
      <top style="thin">
        <color indexed="23"/>
      </top>
      <bottom style="none"/>
      <diagonal style="none"/>
    </border>
    <border>
      <left style="none"/>
      <right style="none"/>
      <top style="medium">
        <color indexed="23"/>
      </top>
      <bottom style="none"/>
      <diagonal style="none"/>
    </border>
    <border>
      <left style="none"/>
      <right style="none"/>
      <top style="none"/>
      <bottom style="medium">
        <color indexed="23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6">
    <xf fontId="0" fillId="0" borderId="0" numFmtId="0" xfId="0"/>
    <xf fontId="0" fillId="0" borderId="1" numFmtId="0" xfId="0" applyBorder="1"/>
    <xf fontId="0" fillId="0" borderId="1" numFmtId="0" xfId="0" applyBorder="1" applyAlignment="1">
      <alignment horizontal="center"/>
    </xf>
    <xf fontId="1" fillId="0" borderId="1" numFmtId="0" xfId="0" applyFont="1" applyBorder="1" applyAlignment="1">
      <alignment horizontal="center"/>
    </xf>
    <xf fontId="0" fillId="0" borderId="0" numFmtId="0" xfId="0" applyAlignment="1">
      <alignment horizontal="center"/>
    </xf>
    <xf fontId="0" fillId="0" borderId="2" numFmtId="0" xfId="0" applyBorder="1" applyAlignment="1">
      <alignment horizontal="center"/>
    </xf>
    <xf fontId="0" fillId="0" borderId="3" numFmtId="0" xfId="0" applyBorder="1"/>
    <xf fontId="0" fillId="0" borderId="4" numFmtId="0" xfId="0" applyBorder="1"/>
    <xf fontId="0" fillId="0" borderId="5" numFmtId="0" xfId="0" applyBorder="1"/>
    <xf fontId="0" fillId="0" borderId="6" numFmtId="0" xfId="0" applyBorder="1"/>
    <xf fontId="0" fillId="0" borderId="0" numFmtId="0" xfId="0"/>
    <xf fontId="0" fillId="0" borderId="7" numFmtId="0" xfId="0" applyBorder="1"/>
    <xf fontId="0" fillId="0" borderId="8" numFmtId="0" xfId="0" applyBorder="1"/>
    <xf fontId="0" fillId="0" borderId="2" numFmtId="0" xfId="0" applyBorder="1"/>
    <xf fontId="0" fillId="0" borderId="9" numFmtId="0" xfId="0" applyBorder="1"/>
    <xf fontId="2" fillId="0" borderId="0" numFmtId="0" xfId="0" applyFont="1"/>
    <xf fontId="3" fillId="0" borderId="10" numFmtId="0" xfId="0" applyFont="1" applyBorder="1" applyAlignment="1">
      <alignment horizontal="center"/>
    </xf>
    <xf fontId="0" fillId="0" borderId="11" numFmtId="0" xfId="0" applyBorder="1"/>
    <xf fontId="0" fillId="0" borderId="12" numFmtId="0" xfId="0" applyBorder="1"/>
    <xf fontId="3" fillId="0" borderId="13" numFmtId="0" xfId="0" applyFont="1" applyBorder="1" applyAlignment="1">
      <alignment horizontal="center"/>
    </xf>
    <xf fontId="3" fillId="0" borderId="14" numFmtId="0" xfId="0" applyFont="1" applyBorder="1" applyAlignment="1">
      <alignment horizontal="center"/>
    </xf>
    <xf fontId="3" fillId="0" borderId="0" numFmtId="0" xfId="0" applyFont="1" applyAlignment="1">
      <alignment horizontal="center"/>
    </xf>
    <xf fontId="0" fillId="2" borderId="0" numFmtId="0" xfId="0" applyFill="1"/>
    <xf fontId="1" fillId="0" borderId="0" numFmtId="0" xfId="0" applyFont="1"/>
    <xf fontId="0" fillId="3" borderId="0" numFmtId="0" xfId="0" applyFill="1"/>
    <xf fontId="0" fillId="2" borderId="6" numFmtId="0" xfId="0" applyFill="1" applyBorder="1"/>
    <xf fontId="0" fillId="0" borderId="1" numFmtId="0" xfId="0" applyBorder="1" applyAlignment="1">
      <alignment horizontal="center" wrapText="1"/>
    </xf>
    <xf fontId="0" fillId="4" borderId="1" numFmtId="0" xfId="0" applyFill="1" applyBorder="1" applyAlignment="1">
      <alignment horizontal="center"/>
    </xf>
    <xf fontId="4" fillId="0" borderId="0" numFmtId="0" xfId="0" applyFont="1"/>
    <xf fontId="2" fillId="0" borderId="1" numFmtId="0" xfId="0" applyFont="1" applyBorder="1" applyAlignment="1">
      <alignment horizontal="center"/>
    </xf>
    <xf fontId="2" fillId="0" borderId="1" numFmtId="0" xfId="0" applyFont="1" applyBorder="1"/>
    <xf fontId="2" fillId="0" borderId="15" numFmtId="0" xfId="0" applyFont="1" applyBorder="1"/>
    <xf fontId="0" fillId="4" borderId="1" numFmtId="0" xfId="0" applyFill="1" applyBorder="1"/>
    <xf fontId="2" fillId="5" borderId="0" numFmtId="0" xfId="0" applyFont="1" applyFill="1"/>
    <xf fontId="0" fillId="6" borderId="0" numFmtId="0" xfId="0" applyFill="1"/>
    <xf fontId="2" fillId="7" borderId="0" numFmt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theme" Target="theme/theme1.xml"/><Relationship  Id="rId11" Type="http://schemas.openxmlformats.org/officeDocument/2006/relationships/sharedStrings" Target="sharedStrings.xml"/><Relationship  Id="rId12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charts/_rels/chart1.xml.rels><?xml version="1.0" encoding="UTF-8" standalone="yes"?><Relationships xmlns="http://schemas.openxmlformats.org/package/2006/relationships"><Relationship Id="rId1" Type="http://schemas.openxmlformats.org/officeDocument/2006/relationships/chartUserShapes" Target="../drawings/drawing1.xml" /></Relationships>
</file>

<file path=xl/charts/_rels/chart2.xml.rels><?xml version="1.0" encoding="UTF-8" standalone="yes"?><Relationships xmlns="http://schemas.openxmlformats.org/package/2006/relationships"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C1</c:v>
          </c:tx>
          <c:marker>
            <c:symbol val="none"/>
          </c:marker>
          <c:xVal>
            <c:numRef>
              <c:f>Sheet1!$C$8:$D$8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xVal>
          <c:yVal>
            <c:numRef>
              <c:f>Sheet1!$C$9:$D$9</c:f>
              <c:numCache>
                <c:formatCode>General</c:formatCode>
                <c:ptCount val="2"/>
                <c:pt idx="0">
                  <c:v>9</c:v>
                </c:pt>
                <c:pt idx="1">
                  <c:v>0</c:v>
                </c:pt>
              </c:numCache>
            </c:numRef>
          </c:yVal>
          <c:smooth val="1"/>
        </c:ser>
        <c:ser>
          <c:idx val="1"/>
          <c:order val="1"/>
          <c:marker>
            <c:symbol val="none"/>
          </c:marker>
          <c:xVal>
            <c:numRef>
              <c:f>Sheet1!$C$19:$D$19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xVal>
          <c:yVal>
            <c:numRef>
              <c:f>Sheet1!$C$20:$D$20</c:f>
              <c:numCache>
                <c:formatCode>General</c:formatCode>
                <c:ptCount val="2"/>
                <c:pt idx="0">
                  <c:v>0</c:v>
                </c:pt>
                <c:pt idx="1">
                  <c:v>2.5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230986880"/>
        <c:axId val="230988416"/>
      </c:scatterChart>
      <c:valAx>
        <c:axId val="230986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0988416"/>
        <c:crosses val="autoZero"/>
        <c:crossBetween val="midCat"/>
      </c:valAx>
      <c:valAx>
        <c:axId val="230988416"/>
        <c:scaling>
          <c:orientation val="minMax"/>
        </c:scaling>
        <c:delete val="0"/>
        <c:axPos val="l"/>
        <c:majorGridlines>
          <c:spPr bwMode="auto"/>
        </c:majorGridlines>
        <c:numFmt formatCode="General" sourceLinked="1"/>
        <c:majorTickMark val="out"/>
        <c:minorTickMark val="none"/>
        <c:tickLblPos val="nextTo"/>
        <c:crossAx val="23098688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 bwMode="auto">
    <a:xfrm rot="0">
      <a:off x="5051424" y="914399"/>
      <a:ext cx="4571999" cy="2698749"/>
    </a:xfrm>
  </c:spPr>
  <c:printSettings>
    <c:headerFooter/>
    <c:pageMargins l="0.69999999999999996" r="0.69999999999999996" t="0.75" b="0.75" header="0.29999999999999999" footer="0.29999999999999999"/>
    <c:pageSetup/>
  </c:printSettings>
  <c:userShapes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Sheet6!$I$3:$I$12</c:f>
              <c:numCache>
                <c:formatCode>General</c:formatCode>
                <c:ptCount val="10"/>
                <c:pt idx="0">
                  <c:v>52.8</c:v>
                </c:pt>
                <c:pt idx="1">
                  <c:v>58.4</c:v>
                </c:pt>
                <c:pt idx="2">
                  <c:v>61.4</c:v>
                </c:pt>
                <c:pt idx="3">
                  <c:v>75</c:v>
                </c:pt>
                <c:pt idx="4">
                  <c:v>51.8</c:v>
                </c:pt>
                <c:pt idx="5">
                  <c:v>50.8</c:v>
                </c:pt>
                <c:pt idx="6">
                  <c:v>60.8</c:v>
                </c:pt>
                <c:pt idx="7">
                  <c:v>72.6</c:v>
                </c:pt>
                <c:pt idx="8">
                  <c:v>62.2</c:v>
                </c:pt>
                <c:pt idx="9">
                  <c:v>76</c:v>
                </c:pt>
              </c:numCache>
            </c:numRef>
          </c:val>
          <c:smooth val="0"/>
        </c:ser>
        <c:ser>
          <c:idx val="1"/>
          <c:order val="1"/>
          <c:marker>
            <c:symbol val="none"/>
          </c:marker>
          <c:val>
            <c:numRef>
              <c:f>Sheet6!$M$3:$M$12</c:f>
              <c:numCache>
                <c:formatCode>General</c:formatCode>
                <c:ptCount val="10"/>
                <c:pt idx="0">
                  <c:v>81.10560000000001</c:v>
                </c:pt>
                <c:pt idx="1">
                  <c:v>81.10560000000001</c:v>
                </c:pt>
                <c:pt idx="2">
                  <c:v>81.10560000000001</c:v>
                </c:pt>
                <c:pt idx="3">
                  <c:v>81.10560000000001</c:v>
                </c:pt>
                <c:pt idx="4">
                  <c:v>81.10560000000001</c:v>
                </c:pt>
                <c:pt idx="5">
                  <c:v>81.10560000000001</c:v>
                </c:pt>
                <c:pt idx="6">
                  <c:v>81.10560000000001</c:v>
                </c:pt>
                <c:pt idx="7">
                  <c:v>81.10560000000001</c:v>
                </c:pt>
                <c:pt idx="8">
                  <c:v>81.10560000000001</c:v>
                </c:pt>
                <c:pt idx="9">
                  <c:v>81.10560000000001</c:v>
                </c:pt>
              </c:numCache>
            </c:numRef>
          </c:val>
          <c:smooth val="0"/>
        </c:ser>
        <c:ser>
          <c:idx val="2"/>
          <c:order val="2"/>
          <c:marker>
            <c:symbol val="none"/>
          </c:marker>
          <c:val>
            <c:numRef>
              <c:f>Sheet6!$N$3:$N$12</c:f>
              <c:numCache>
                <c:formatCode>General</c:formatCode>
                <c:ptCount val="10"/>
                <c:pt idx="0">
                  <c:v>43.25440000000001</c:v>
                </c:pt>
                <c:pt idx="1">
                  <c:v>43.25440000000001</c:v>
                </c:pt>
                <c:pt idx="2">
                  <c:v>43.25440000000001</c:v>
                </c:pt>
                <c:pt idx="3">
                  <c:v>43.25440000000001</c:v>
                </c:pt>
                <c:pt idx="4">
                  <c:v>43.25440000000001</c:v>
                </c:pt>
                <c:pt idx="5">
                  <c:v>43.25440000000001</c:v>
                </c:pt>
                <c:pt idx="6">
                  <c:v>43.25440000000001</c:v>
                </c:pt>
                <c:pt idx="7">
                  <c:v>43.25440000000001</c:v>
                </c:pt>
                <c:pt idx="8">
                  <c:v>43.25440000000001</c:v>
                </c:pt>
                <c:pt idx="9">
                  <c:v>43.25440000000001</c:v>
                </c:pt>
              </c:numCache>
            </c:numRef>
          </c: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marker val="1"/>
        <c:smooth val="0"/>
        <c:axId val="231552128"/>
        <c:axId val="231553664"/>
      </c:lineChart>
      <c:catAx>
        <c:axId val="231552128"/>
        <c:scaling>
          <c:orientation val="minMax"/>
        </c:scaling>
        <c:delete val="0"/>
        <c:axPos val="b"/>
        <c:majorTickMark val="out"/>
        <c:minorTickMark val="none"/>
        <c:tickLblPos val="nextTo"/>
        <c:crossAx val="231553664"/>
        <c:crosses val="autoZero"/>
        <c:auto val="1"/>
        <c:lblAlgn val="ctr"/>
        <c:lblOffset val="100"/>
        <c:noMultiLvlLbl val="0"/>
      </c:catAx>
      <c:valAx>
        <c:axId val="231553664"/>
        <c:scaling>
          <c:orientation val="minMax"/>
        </c:scaling>
        <c:delete val="0"/>
        <c:axPos val="l"/>
        <c:majorGridlines>
          <c:spPr bwMode="auto"/>
        </c:majorGridlines>
        <c:numFmt formatCode="General" sourceLinked="1"/>
        <c:majorTickMark val="out"/>
        <c:minorTickMark val="none"/>
        <c:tickLblPos val="nextTo"/>
        <c:crossAx val="2315521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 bwMode="auto">
    <a:xfrm rot="0">
      <a:off x="0" y="0"/>
      <a:ext cx="0" cy="0"/>
    </a:xfrm>
  </c:spPr>
  <c:printSettings>
    <c:headerFooter/>
    <c:pageMargins l="0.69999999999999996" r="0.69999999999999996" t="0.75" b="0.75" header="0.29999999999999999" footer="0.29999999999999999"/>
    <c:pageSetup/>
  </c:printSettings>
</c:chartSpace>
</file>

<file path=xl/drawings/_rels/drawing1.xml.rels><?xml version="1.0" encoding="UTF-8" standalone="yes"?><Relationships xmlns="http://schemas.openxmlformats.org/package/2006/relationships"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 /></Relationships>
</file>

<file path=xl/drawings/drawing1.xml><?xml version="1.0" encoding="utf-8"?>
<c:userShapes xmlns:c="http://schemas.openxmlformats.org/drawingml/2006/chart" xmlns:cdr="http://schemas.openxmlformats.org/drawingml/2006/chartDrawing" xmlns:a="http://schemas.openxmlformats.org/drawingml/2006/main" xmlns:r="http://schemas.openxmlformats.org/officeDocument/2006/relationships">
  <cdr:relSizeAnchor>
    <cdr:from>
      <cdr:x>0.71318999999999999</cdr:x>
      <cdr:y>0.11458</cdr:y>
    </cdr:from>
    <cdr:to>
      <cdr:x>0.72292000000000001</cdr:x>
      <cdr:y>0.88541999999999998</cdr:y>
    </cdr:to>
    <cdr:cxnSp>
      <cdr:nvCxnSpPr>
        <cdr:cNvPr id="3" name="Straight Arrow Connector 2"/>
        <cdr:cNvCxnSpPr/>
      </cdr:nvCxnSpPr>
      <cdr:spPr bwMode="auto">
        <a:xfrm flipH="1" flipV="1">
          <a:off x="3260725" y="314325"/>
          <a:ext cx="44450" cy="2114550"/>
        </a:xfrm>
        <a:prstGeom prst="straightConnector1">
          <a:avLst/>
        </a:prstGeom>
        <a:ln>
          <a:tailEnd type="arrow"/>
        </a:ln>
      </cdr:spPr>
      <c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cdr:style>
    </cdr:cxnSp>
  </cdr:relSizeAnchor>
</c:userShape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8</xdr:col>
      <xdr:colOff>174624</xdr:colOff>
      <xdr:row>5</xdr:row>
      <xdr:rowOff>9524</xdr:rowOff>
    </xdr:from>
    <xdr:to>
      <xdr:col>15</xdr:col>
      <xdr:colOff>479424</xdr:colOff>
      <xdr:row>19</xdr:row>
      <xdr:rowOff>174624</xdr:rowOff>
    </xdr:to>
    <xdr:graphicFrame>
      <xdr:nvGraphicFramePr>
        <xdr:cNvPr id="2" name="Chart 1"/>
        <xdr:cNvGraphicFramePr>
          <a:graphicFrameLocks xmlns:a="http://schemas.openxmlformats.org/drawingml/2006/main"/>
        </xdr:cNvGraphicFramePr>
      </xdr:nvGraphicFramePr>
      <xdr:xfrm rot="0">
        <a:off x="5051424" y="914399"/>
        <a:ext cx="4571999" cy="269874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8</xdr:col>
      <xdr:colOff>488949</xdr:colOff>
      <xdr:row>14</xdr:row>
      <xdr:rowOff>19049</xdr:rowOff>
    </xdr:from>
    <xdr:to>
      <xdr:col>14</xdr:col>
      <xdr:colOff>139699</xdr:colOff>
      <xdr:row>14</xdr:row>
      <xdr:rowOff>25399</xdr:rowOff>
    </xdr:to>
    <xdr:cxnSp>
      <xdr:nvCxnSpPr>
        <xdr:cNvPr id="4" name="Straight Arrow Connector 3"/>
        <xdr:cNvCxnSpPr/>
      </xdr:nvCxnSpPr>
      <xdr:spPr bwMode="auto">
        <a:xfrm flipV="1">
          <a:off x="5365749" y="2552699"/>
          <a:ext cx="3308350" cy="63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9</xdr:col>
      <xdr:colOff>558800</xdr:colOff>
      <xdr:row>18</xdr:row>
      <xdr:rowOff>38100</xdr:rowOff>
    </xdr:from>
    <xdr:to>
      <xdr:col>9</xdr:col>
      <xdr:colOff>565150</xdr:colOff>
      <xdr:row>18</xdr:row>
      <xdr:rowOff>50800</xdr:rowOff>
    </xdr:to>
    <xdr:cxnSp>
      <xdr:nvCxnSpPr>
        <xdr:cNvPr id="6" name="Straight Arrow Connector 5"/>
        <xdr:cNvCxnSpPr/>
      </xdr:nvCxnSpPr>
      <xdr:spPr bwMode="auto">
        <a:xfrm flipH="1">
          <a:off x="6045200" y="3352800"/>
          <a:ext cx="6350" cy="127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11</xdr:col>
      <xdr:colOff>295274</xdr:colOff>
      <xdr:row>5</xdr:row>
      <xdr:rowOff>130175</xdr:rowOff>
    </xdr:from>
    <xdr:to>
      <xdr:col>18</xdr:col>
      <xdr:colOff>600075</xdr:colOff>
      <xdr:row>20</xdr:row>
      <xdr:rowOff>111125</xdr:rowOff>
    </xdr:to>
    <xdr:graphicFrame>
      <xdr:nvGraphicFramePr>
        <xdr:cNvPr id="8" name="Chart 7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9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2" zoomScale="100" workbookViewId="0">
      <selection activeCell="F32" activeCellId="0" sqref="F32"/>
    </sheetView>
  </sheetViews>
  <sheetFormatPr defaultRowHeight="14.5"/>
  <sheetData>
    <row r="1">
      <c r="A1" t="s">
        <v>0</v>
      </c>
    </row>
    <row r="3">
      <c r="C3" t="s">
        <v>1</v>
      </c>
      <c r="D3" t="s">
        <v>2</v>
      </c>
    </row>
    <row r="4">
      <c r="B4" t="s">
        <v>3</v>
      </c>
      <c r="C4">
        <v>4</v>
      </c>
      <c r="D4">
        <v>6</v>
      </c>
      <c r="F4" t="s">
        <v>4</v>
      </c>
      <c r="G4">
        <v>36</v>
      </c>
    </row>
    <row r="5">
      <c r="C5">
        <v>3</v>
      </c>
      <c r="F5" t="s">
        <v>4</v>
      </c>
      <c r="G5">
        <v>18</v>
      </c>
    </row>
    <row r="6">
      <c r="D6">
        <v>5</v>
      </c>
      <c r="F6" t="s">
        <v>4</v>
      </c>
      <c r="G6">
        <v>20</v>
      </c>
    </row>
    <row r="8">
      <c r="B8" t="s">
        <v>5</v>
      </c>
      <c r="C8">
        <v>0</v>
      </c>
      <c r="D8">
        <v>6</v>
      </c>
    </row>
    <row r="9">
      <c r="C9">
        <v>9</v>
      </c>
      <c r="D9">
        <v>0</v>
      </c>
    </row>
    <row r="12">
      <c r="B12" t="s">
        <v>6</v>
      </c>
      <c r="C12">
        <v>6</v>
      </c>
    </row>
    <row r="13">
      <c r="C13">
        <v>0</v>
      </c>
    </row>
    <row r="16">
      <c r="B16" t="s">
        <v>7</v>
      </c>
      <c r="C16">
        <v>0</v>
      </c>
    </row>
    <row r="17">
      <c r="C17">
        <v>4</v>
      </c>
    </row>
    <row r="19">
      <c r="B19" t="s">
        <v>8</v>
      </c>
      <c r="C19">
        <v>1</v>
      </c>
      <c r="D19">
        <v>0</v>
      </c>
    </row>
    <row r="20">
      <c r="C20">
        <v>0</v>
      </c>
      <c r="D20">
        <v>2.5</v>
      </c>
    </row>
    <row r="22">
      <c r="B22" t="s">
        <v>9</v>
      </c>
      <c r="C22">
        <v>2</v>
      </c>
      <c r="D22">
        <v>0</v>
      </c>
    </row>
    <row r="23">
      <c r="C23">
        <v>0</v>
      </c>
      <c r="D23">
        <v>3</v>
      </c>
    </row>
    <row r="25">
      <c r="B25" t="s">
        <v>10</v>
      </c>
      <c r="C25">
        <v>3</v>
      </c>
      <c r="D25">
        <v>0</v>
      </c>
    </row>
    <row r="26">
      <c r="C26">
        <v>0</v>
      </c>
      <c r="D26">
        <v>4.5</v>
      </c>
    </row>
    <row r="29">
      <c r="B29" t="s">
        <v>11</v>
      </c>
      <c r="C29">
        <v>6</v>
      </c>
      <c r="D29">
        <v>0</v>
      </c>
    </row>
    <row r="30">
      <c r="C30">
        <v>0</v>
      </c>
      <c r="D30">
        <v>9</v>
      </c>
    </row>
    <row r="33">
      <c r="B33" t="s">
        <v>12</v>
      </c>
      <c r="C33">
        <v>7</v>
      </c>
      <c r="D33">
        <v>0</v>
      </c>
    </row>
    <row r="34">
      <c r="C34">
        <v>0</v>
      </c>
      <c r="D34">
        <v>10.5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M5" activeCellId="0" sqref="M5"/>
    </sheetView>
  </sheetViews>
  <sheetFormatPr defaultRowHeight="14.5"/>
  <sheetData>
    <row r="2">
      <c r="D2" t="s">
        <v>13</v>
      </c>
    </row>
    <row r="3">
      <c r="D3" s="1"/>
      <c r="E3" s="2"/>
      <c r="F3" s="2" t="s">
        <v>1</v>
      </c>
      <c r="G3" s="2" t="s">
        <v>2</v>
      </c>
      <c r="H3" s="2" t="s">
        <v>14</v>
      </c>
      <c r="I3" s="2" t="s">
        <v>15</v>
      </c>
      <c r="J3" s="2"/>
      <c r="K3" s="2"/>
    </row>
    <row r="4">
      <c r="D4" s="1"/>
      <c r="E4" s="2" t="s">
        <v>16</v>
      </c>
      <c r="F4" s="2">
        <v>15</v>
      </c>
      <c r="G4" s="2">
        <v>40</v>
      </c>
      <c r="H4" s="2">
        <v>0</v>
      </c>
      <c r="I4" s="2">
        <v>0</v>
      </c>
      <c r="J4" s="2" t="s">
        <v>17</v>
      </c>
      <c r="K4" s="2" t="s">
        <v>18</v>
      </c>
    </row>
    <row r="5">
      <c r="D5" s="1">
        <v>0</v>
      </c>
      <c r="E5" s="2" t="s">
        <v>19</v>
      </c>
      <c r="F5" s="2">
        <v>2</v>
      </c>
      <c r="G5" s="2">
        <v>3</v>
      </c>
      <c r="H5" s="2">
        <v>1</v>
      </c>
      <c r="I5" s="2">
        <v>0</v>
      </c>
      <c r="J5" s="2">
        <v>60</v>
      </c>
      <c r="K5" s="2">
        <f t="shared" ref="K5:K6" si="0">J5/G5</f>
        <v>20</v>
      </c>
    </row>
    <row r="6">
      <c r="D6" s="1">
        <v>0</v>
      </c>
      <c r="E6" s="2" t="s">
        <v>20</v>
      </c>
      <c r="F6" s="2">
        <v>1</v>
      </c>
      <c r="G6" s="2">
        <v>4</v>
      </c>
      <c r="H6" s="2">
        <v>0</v>
      </c>
      <c r="I6" s="2">
        <v>1</v>
      </c>
      <c r="J6" s="2">
        <v>40</v>
      </c>
      <c r="K6" s="2">
        <f t="shared" si="0"/>
        <v>10</v>
      </c>
    </row>
    <row r="7">
      <c r="D7" s="1"/>
      <c r="E7" s="2" t="s">
        <v>21</v>
      </c>
      <c r="F7" s="3">
        <f t="array" ref="F7">SUMPRODUCT($D5:$D6,F5:F6)</f>
        <v>0</v>
      </c>
      <c r="G7" s="3">
        <f t="array" ref="G7">SUMPRODUCT($D5:$D6,G5:G6)</f>
        <v>0</v>
      </c>
      <c r="H7" s="3">
        <f t="array" ref="H7">SUMPRODUCT($D5:$D6,H5:H6)</f>
        <v>0</v>
      </c>
      <c r="I7" s="3">
        <f t="array" ref="I7">SUMPRODUCT($D5:$D6,I5:I6)</f>
        <v>0</v>
      </c>
      <c r="J7" s="3">
        <f t="array" ref="J7">SUMPRODUCT($D5:$D6,J5:J6)</f>
        <v>0</v>
      </c>
      <c r="K7" s="2"/>
    </row>
    <row r="8">
      <c r="D8" s="1"/>
      <c r="E8" s="2" t="s">
        <v>22</v>
      </c>
      <c r="F8" s="2">
        <f>F7-F$4</f>
        <v>-15</v>
      </c>
      <c r="G8" s="2">
        <f t="shared" ref="G8:I8" si="1">G7-G$4</f>
        <v>-40</v>
      </c>
      <c r="H8" s="2">
        <f t="shared" si="1"/>
        <v>0</v>
      </c>
      <c r="I8" s="2">
        <f t="shared" si="1"/>
        <v>0</v>
      </c>
      <c r="J8" s="2"/>
      <c r="K8" s="2"/>
    </row>
    <row r="9">
      <c r="E9" s="4"/>
      <c r="F9" s="4"/>
      <c r="G9" s="4"/>
      <c r="H9" s="4"/>
      <c r="I9" s="4"/>
      <c r="J9" s="4"/>
      <c r="K9" s="4"/>
    </row>
    <row r="10">
      <c r="D10" s="1">
        <v>0</v>
      </c>
      <c r="E10" s="2" t="s">
        <v>19</v>
      </c>
      <c r="F10" s="2">
        <f>F5-F11*$G5</f>
        <v>1.25</v>
      </c>
      <c r="G10" s="2">
        <f t="shared" ref="G10:J10" si="2">G5-G11*$G5</f>
        <v>0</v>
      </c>
      <c r="H10" s="2">
        <f t="shared" si="2"/>
        <v>1</v>
      </c>
      <c r="I10" s="2">
        <f t="shared" si="2"/>
        <v>-0.75</v>
      </c>
      <c r="J10" s="2">
        <f t="shared" si="2"/>
        <v>30</v>
      </c>
      <c r="K10" s="2">
        <f t="shared" ref="K10:K11" si="3">J10/F10</f>
        <v>24</v>
      </c>
    </row>
    <row r="11">
      <c r="D11" s="1">
        <v>40</v>
      </c>
      <c r="E11" s="2" t="s">
        <v>20</v>
      </c>
      <c r="F11" s="2">
        <f>F6/$G6</f>
        <v>0.25</v>
      </c>
      <c r="G11" s="2">
        <f t="shared" ref="G11:J11" si="4">G6/$G6</f>
        <v>1</v>
      </c>
      <c r="H11" s="2">
        <f t="shared" si="4"/>
        <v>0</v>
      </c>
      <c r="I11" s="2">
        <f t="shared" si="4"/>
        <v>0.25</v>
      </c>
      <c r="J11" s="2">
        <f t="shared" si="4"/>
        <v>10</v>
      </c>
      <c r="K11" s="2">
        <f t="shared" si="3"/>
        <v>40</v>
      </c>
    </row>
    <row r="12">
      <c r="D12" s="1"/>
      <c r="E12" s="2" t="s">
        <v>21</v>
      </c>
      <c r="F12" s="2">
        <f t="array" ref="F12">SUMPRODUCT($D10:$D11,F10:F11)</f>
        <v>10</v>
      </c>
      <c r="G12" s="2">
        <f t="array" ref="G12">SUMPRODUCT($D10:$D11,G10:G11)</f>
        <v>40</v>
      </c>
      <c r="H12" s="2">
        <f t="array" ref="H12">SUMPRODUCT($D10:$D11,H10:H11)</f>
        <v>0</v>
      </c>
      <c r="I12" s="2">
        <f t="array" ref="I12">SUMPRODUCT($D10:$D11,I10:I11)</f>
        <v>10</v>
      </c>
      <c r="J12" s="2">
        <f t="array" ref="J12">SUMPRODUCT($D10:$D11,J10:J11)</f>
        <v>400</v>
      </c>
      <c r="K12" s="2"/>
    </row>
    <row r="13">
      <c r="D13" s="1"/>
      <c r="E13" s="2" t="s">
        <v>22</v>
      </c>
      <c r="F13" s="2">
        <f>F12-F$4</f>
        <v>-5</v>
      </c>
      <c r="G13" s="2">
        <f>G12-G$4</f>
        <v>0</v>
      </c>
      <c r="H13" s="2">
        <f>H12-H$4</f>
        <v>0</v>
      </c>
      <c r="I13" s="2">
        <f>I12-I$4</f>
        <v>10</v>
      </c>
      <c r="J13" s="2"/>
      <c r="K13" s="2"/>
    </row>
    <row r="14">
      <c r="E14" s="4"/>
      <c r="F14" s="4"/>
      <c r="G14" s="4"/>
      <c r="H14" s="4"/>
      <c r="I14" s="4"/>
      <c r="J14" s="4"/>
      <c r="K14" s="4"/>
    </row>
    <row r="15">
      <c r="D15" s="1">
        <v>15</v>
      </c>
      <c r="E15" s="2" t="s">
        <v>19</v>
      </c>
      <c r="F15" s="2">
        <f>F10/$F10</f>
        <v>1</v>
      </c>
      <c r="G15" s="2">
        <f t="shared" ref="G15:J15" si="5">G10/$F10</f>
        <v>0</v>
      </c>
      <c r="H15" s="2">
        <f t="shared" si="5"/>
        <v>0.80000000000000004</v>
      </c>
      <c r="I15" s="2">
        <f t="shared" si="5"/>
        <v>-0.59999999999999998</v>
      </c>
      <c r="J15" s="2">
        <f t="shared" si="5"/>
        <v>24</v>
      </c>
      <c r="K15" s="4"/>
    </row>
    <row r="16">
      <c r="D16" s="1">
        <v>40</v>
      </c>
      <c r="E16" s="2" t="s">
        <v>20</v>
      </c>
      <c r="F16" s="2">
        <f>F11-F15*$F11</f>
        <v>0</v>
      </c>
      <c r="G16" s="2">
        <f t="shared" ref="G16:J16" si="6">G11-G15*$F11</f>
        <v>1</v>
      </c>
      <c r="H16" s="2">
        <f t="shared" si="6"/>
        <v>-0.20000000000000001</v>
      </c>
      <c r="I16" s="2">
        <f t="shared" si="6"/>
        <v>0.40000000000000002</v>
      </c>
      <c r="J16" s="2">
        <f t="shared" si="6"/>
        <v>4</v>
      </c>
      <c r="K16" s="4"/>
    </row>
    <row r="17">
      <c r="D17" s="1"/>
      <c r="E17" s="2" t="s">
        <v>21</v>
      </c>
      <c r="F17" s="3">
        <f t="array" ref="F17">SUMPRODUCT($D15:$D16,F15:F16)</f>
        <v>15</v>
      </c>
      <c r="G17" s="3">
        <f t="array" ref="G17">SUMPRODUCT($D15:$D16,G15:G16)</f>
        <v>40</v>
      </c>
      <c r="H17" s="3">
        <f t="array" ref="H17">SUMPRODUCT($D15:$D16,H15:H16)</f>
        <v>4</v>
      </c>
      <c r="I17" s="3">
        <f t="array" ref="I17">SUMPRODUCT($D15:$D16,I15:I16)</f>
        <v>7</v>
      </c>
      <c r="J17" s="3">
        <f t="array" ref="J17">SUMPRODUCT($D15:$D16,J15:J16)</f>
        <v>520</v>
      </c>
      <c r="K17" s="4"/>
    </row>
    <row r="18">
      <c r="D18" s="1"/>
      <c r="E18" s="2" t="s">
        <v>22</v>
      </c>
      <c r="F18" s="2">
        <f>F17-F$4</f>
        <v>0</v>
      </c>
      <c r="G18" s="2">
        <f>G17-G$4</f>
        <v>0</v>
      </c>
      <c r="H18" s="2">
        <f>H17-H$4</f>
        <v>4</v>
      </c>
      <c r="I18" s="2">
        <f>I17-I$4</f>
        <v>7</v>
      </c>
      <c r="J18" s="2"/>
      <c r="K18" s="4"/>
    </row>
    <row r="19">
      <c r="E19" s="4"/>
      <c r="F19" s="4"/>
      <c r="G19" s="4"/>
      <c r="H19" s="4"/>
      <c r="I19" s="4"/>
      <c r="J19" s="4"/>
      <c r="K19" s="4"/>
    </row>
    <row r="20">
      <c r="E20" s="4"/>
      <c r="F20" s="4"/>
      <c r="G20" s="4"/>
      <c r="H20" s="4"/>
      <c r="I20" s="4"/>
      <c r="J20" s="4"/>
      <c r="K20" s="4"/>
    </row>
    <row r="21">
      <c r="E21" s="4"/>
      <c r="F21" s="4"/>
      <c r="G21" s="4"/>
      <c r="H21" s="4"/>
      <c r="I21" s="4"/>
      <c r="J21" s="4"/>
      <c r="K21" s="4"/>
    </row>
    <row r="22">
      <c r="E22" s="4"/>
      <c r="F22" s="4"/>
      <c r="G22" s="4"/>
      <c r="H22" s="4"/>
      <c r="I22" s="4"/>
      <c r="J22" s="4"/>
      <c r="K22" s="4"/>
    </row>
    <row r="23">
      <c r="C23" s="5" t="s">
        <v>23</v>
      </c>
      <c r="D23" s="5"/>
    </row>
    <row r="24">
      <c r="C24" s="6"/>
      <c r="D24" s="7" t="s">
        <v>1</v>
      </c>
      <c r="E24" s="7" t="s">
        <v>1</v>
      </c>
      <c r="F24" s="7"/>
      <c r="G24" s="7"/>
      <c r="H24" s="7"/>
      <c r="I24" s="7"/>
      <c r="J24" s="7"/>
      <c r="K24" s="7" t="s">
        <v>24</v>
      </c>
      <c r="L24" s="8">
        <v>0</v>
      </c>
    </row>
    <row r="25">
      <c r="C25" s="9" t="s">
        <v>5</v>
      </c>
      <c r="D25" s="10">
        <v>0</v>
      </c>
      <c r="E25" s="10">
        <f>G25/3</f>
        <v>20</v>
      </c>
      <c r="F25" s="10"/>
      <c r="G25" s="10">
        <v>60</v>
      </c>
      <c r="H25" s="10"/>
      <c r="I25" s="10"/>
      <c r="J25" s="10"/>
      <c r="K25" s="10" t="s">
        <v>25</v>
      </c>
      <c r="L25" s="11">
        <f>135*20</f>
        <v>2700</v>
      </c>
    </row>
    <row r="26">
      <c r="C26" s="9"/>
      <c r="D26" s="10">
        <v>30</v>
      </c>
      <c r="E26" s="10">
        <v>0</v>
      </c>
      <c r="F26" s="10"/>
      <c r="G26" s="10"/>
      <c r="H26" s="10"/>
      <c r="I26" s="10"/>
      <c r="J26" s="10"/>
      <c r="K26" s="10"/>
      <c r="L26" s="11">
        <f>18*140+135*8</f>
        <v>3600</v>
      </c>
    </row>
    <row r="27">
      <c r="C27" s="9"/>
      <c r="D27" s="10"/>
      <c r="E27" s="10"/>
      <c r="F27" s="10"/>
      <c r="G27" s="10"/>
      <c r="H27" s="10"/>
      <c r="I27" s="10"/>
      <c r="J27" s="10"/>
      <c r="K27" s="10"/>
      <c r="L27" s="11"/>
    </row>
    <row r="28">
      <c r="C28" s="9"/>
      <c r="D28" s="10"/>
      <c r="E28" s="10"/>
      <c r="F28" s="10"/>
      <c r="G28" s="10"/>
      <c r="H28" s="10"/>
      <c r="I28" s="10"/>
      <c r="J28" s="10"/>
      <c r="K28" s="10"/>
      <c r="L28" s="11"/>
    </row>
    <row r="29">
      <c r="C29" s="9" t="s">
        <v>6</v>
      </c>
      <c r="D29" s="10">
        <v>0</v>
      </c>
      <c r="E29" s="10">
        <f>G29/3</f>
        <v>32</v>
      </c>
      <c r="F29" s="10"/>
      <c r="G29" s="10">
        <v>96</v>
      </c>
      <c r="H29" s="10"/>
      <c r="I29" s="10"/>
      <c r="J29" s="10"/>
      <c r="K29" s="10"/>
      <c r="L29" s="11"/>
    </row>
    <row r="30">
      <c r="C30" s="9"/>
      <c r="D30" s="10">
        <f>96/4</f>
        <v>24</v>
      </c>
      <c r="E30" s="10">
        <v>0</v>
      </c>
      <c r="F30" s="10"/>
      <c r="G30" s="10"/>
      <c r="H30" s="10"/>
      <c r="I30" s="10"/>
      <c r="J30" s="10"/>
      <c r="K30" s="10"/>
      <c r="L30" s="11"/>
    </row>
    <row r="31">
      <c r="C31" s="9"/>
      <c r="D31" s="10"/>
      <c r="E31" s="10"/>
      <c r="F31" s="10"/>
      <c r="G31" s="10"/>
      <c r="H31" s="10"/>
      <c r="I31" s="10"/>
      <c r="J31" s="10"/>
      <c r="K31" s="10"/>
      <c r="L31" s="11"/>
    </row>
    <row r="32">
      <c r="C32" s="9"/>
      <c r="D32" s="10"/>
      <c r="E32" s="10"/>
      <c r="F32" s="10"/>
      <c r="G32" s="10"/>
      <c r="H32" s="10"/>
      <c r="I32" s="10"/>
      <c r="J32" s="10"/>
      <c r="K32" s="10"/>
      <c r="L32" s="11"/>
    </row>
    <row r="33">
      <c r="C33" s="9" t="s">
        <v>7</v>
      </c>
      <c r="D33" s="10">
        <v>0</v>
      </c>
      <c r="E33" s="10">
        <f>105/3.5</f>
        <v>30</v>
      </c>
      <c r="F33" s="10"/>
      <c r="G33" s="10">
        <v>105</v>
      </c>
      <c r="H33" s="10"/>
      <c r="I33" s="10"/>
      <c r="J33" s="10"/>
      <c r="K33" s="10"/>
      <c r="L33" s="11"/>
    </row>
    <row r="34">
      <c r="C34" s="12"/>
      <c r="D34" s="13">
        <f>105/4</f>
        <v>26.25</v>
      </c>
      <c r="E34" s="13">
        <v>0</v>
      </c>
      <c r="F34" s="13"/>
      <c r="G34" s="13"/>
      <c r="H34" s="13"/>
      <c r="I34" s="13"/>
      <c r="J34" s="13"/>
      <c r="K34" s="13"/>
      <c r="L34" s="14"/>
    </row>
  </sheetData>
  <mergeCells count="1">
    <mergeCell ref="C23:D2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A7" zoomScale="100" workbookViewId="0">
      <selection activeCell="A1" activeCellId="0" sqref="A1"/>
    </sheetView>
  </sheetViews>
  <sheetFormatPr defaultRowHeight="14.5"/>
  <cols>
    <col customWidth="1" min="1" max="1" width="2.1796875"/>
    <col customWidth="1" min="2" max="2" width="5.6328125"/>
    <col customWidth="1" min="3" max="3" width="5.7265625"/>
    <col bestFit="1" customWidth="1" min="4" max="4" width="12.453125"/>
    <col bestFit="1" customWidth="1" min="5" max="5" width="13.453125"/>
    <col customWidth="1" min="6" max="6" width="10.453125"/>
    <col customWidth="1" min="7" max="7" width="5"/>
  </cols>
  <sheetData>
    <row r="1">
      <c r="A1" s="15" t="s">
        <v>26</v>
      </c>
    </row>
    <row r="2">
      <c r="A2" s="15" t="s">
        <v>27</v>
      </c>
    </row>
    <row r="3">
      <c r="A3" s="15" t="s">
        <v>28</v>
      </c>
    </row>
    <row r="4">
      <c r="A4" s="15" t="s">
        <v>29</v>
      </c>
    </row>
    <row r="5">
      <c r="A5" s="15" t="s">
        <v>30</v>
      </c>
    </row>
    <row r="6">
      <c r="A6" s="15"/>
      <c r="B6" t="s">
        <v>31</v>
      </c>
    </row>
    <row r="7">
      <c r="A7" s="15"/>
      <c r="B7" t="s">
        <v>32</v>
      </c>
    </row>
    <row r="8">
      <c r="A8" s="15"/>
      <c r="B8" t="s">
        <v>33</v>
      </c>
    </row>
    <row r="9">
      <c r="A9" s="15" t="s">
        <v>34</v>
      </c>
    </row>
    <row r="10">
      <c r="B10" t="s">
        <v>35</v>
      </c>
    </row>
    <row r="11">
      <c r="B11" t="s">
        <v>36</v>
      </c>
    </row>
    <row r="14" ht="15">
      <c r="A14" t="s">
        <v>37</v>
      </c>
    </row>
    <row r="15" ht="15">
      <c r="B15" s="16" t="s">
        <v>38</v>
      </c>
      <c r="C15" s="16" t="s">
        <v>39</v>
      </c>
      <c r="D15" s="16" t="s">
        <v>40</v>
      </c>
      <c r="E15" s="16" t="s">
        <v>41</v>
      </c>
    </row>
    <row r="16" ht="15">
      <c r="B16" s="17" t="s">
        <v>42</v>
      </c>
      <c r="C16" s="17"/>
      <c r="D16" s="17">
        <v>16440</v>
      </c>
      <c r="E16" s="17">
        <v>16440</v>
      </c>
    </row>
    <row r="19" ht="15">
      <c r="A19" t="s">
        <v>43</v>
      </c>
    </row>
    <row r="20" ht="15">
      <c r="B20" s="16" t="s">
        <v>38</v>
      </c>
      <c r="C20" s="16" t="s">
        <v>39</v>
      </c>
      <c r="D20" s="16" t="s">
        <v>40</v>
      </c>
      <c r="E20" s="16" t="s">
        <v>41</v>
      </c>
      <c r="F20" s="16" t="s">
        <v>44</v>
      </c>
    </row>
    <row r="21">
      <c r="B21" s="18" t="s">
        <v>45</v>
      </c>
      <c r="C21" s="18" t="s">
        <v>1</v>
      </c>
      <c r="D21" s="18">
        <v>80</v>
      </c>
      <c r="E21" s="18">
        <v>80</v>
      </c>
      <c r="F21" s="18" t="s">
        <v>46</v>
      </c>
    </row>
    <row r="22">
      <c r="B22" s="18" t="s">
        <v>47</v>
      </c>
      <c r="C22" s="18" t="s">
        <v>2</v>
      </c>
      <c r="D22" s="18">
        <v>120</v>
      </c>
      <c r="E22" s="18">
        <v>120</v>
      </c>
      <c r="F22" s="18" t="s">
        <v>46</v>
      </c>
    </row>
    <row r="23" ht="15">
      <c r="B23" s="17" t="s">
        <v>48</v>
      </c>
      <c r="C23" s="17" t="s">
        <v>49</v>
      </c>
      <c r="D23" s="17">
        <v>0</v>
      </c>
      <c r="E23" s="17">
        <v>0</v>
      </c>
      <c r="F23" s="17" t="s">
        <v>46</v>
      </c>
    </row>
    <row r="26" ht="15">
      <c r="A26" t="s">
        <v>50</v>
      </c>
    </row>
    <row r="27" ht="15">
      <c r="B27" s="16" t="s">
        <v>38</v>
      </c>
      <c r="C27" s="16" t="s">
        <v>39</v>
      </c>
      <c r="D27" s="16" t="s">
        <v>51</v>
      </c>
      <c r="E27" s="16" t="s">
        <v>52</v>
      </c>
      <c r="F27" s="16" t="s">
        <v>53</v>
      </c>
      <c r="G27" s="16" t="s">
        <v>54</v>
      </c>
    </row>
    <row r="28">
      <c r="B28" s="18" t="s">
        <v>55</v>
      </c>
      <c r="C28" s="18"/>
      <c r="D28" s="18">
        <v>200</v>
      </c>
      <c r="E28" s="18" t="s">
        <v>56</v>
      </c>
      <c r="F28" s="18" t="s">
        <v>57</v>
      </c>
      <c r="G28" s="18">
        <v>0</v>
      </c>
    </row>
    <row r="29">
      <c r="B29" s="18" t="s">
        <v>58</v>
      </c>
      <c r="C29" s="18"/>
      <c r="D29" s="18">
        <v>320</v>
      </c>
      <c r="E29" s="18" t="s">
        <v>59</v>
      </c>
      <c r="F29" s="18" t="s">
        <v>57</v>
      </c>
      <c r="G29" s="18">
        <v>0</v>
      </c>
    </row>
    <row r="30" ht="15">
      <c r="B30" s="17" t="s">
        <v>60</v>
      </c>
      <c r="C30" s="17"/>
      <c r="D30" s="17">
        <v>2080</v>
      </c>
      <c r="E30" s="17" t="s">
        <v>61</v>
      </c>
      <c r="F30" s="17" t="s">
        <v>62</v>
      </c>
      <c r="G30" s="17">
        <v>320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J8" activeCellId="0" sqref="J8"/>
    </sheetView>
  </sheetViews>
  <sheetFormatPr defaultRowHeight="14.5"/>
  <cols>
    <col customWidth="1" min="1" max="1" width="2.1796875"/>
    <col bestFit="1" customWidth="1" min="2" max="2" width="5.6328125"/>
    <col customWidth="1" min="3" max="3" width="5.7265625"/>
    <col customWidth="1" min="4" max="4" width="5.54296875"/>
    <col bestFit="1" customWidth="1" min="5" max="5" width="8"/>
    <col bestFit="1" customWidth="1" min="6" max="6" width="9.81640625"/>
    <col bestFit="1" customWidth="1" min="7" max="8" width="9"/>
  </cols>
  <sheetData>
    <row r="1">
      <c r="A1" s="15" t="s">
        <v>63</v>
      </c>
    </row>
    <row r="2">
      <c r="A2" s="15" t="s">
        <v>27</v>
      </c>
    </row>
    <row r="3">
      <c r="A3" s="15" t="s">
        <v>28</v>
      </c>
    </row>
    <row r="6" ht="15">
      <c r="A6" t="s">
        <v>43</v>
      </c>
    </row>
    <row r="7">
      <c r="B7" s="19"/>
      <c r="C7" s="19"/>
      <c r="D7" s="19" t="s">
        <v>64</v>
      </c>
      <c r="E7" s="19" t="s">
        <v>65</v>
      </c>
      <c r="F7" s="19" t="s">
        <v>66</v>
      </c>
      <c r="G7" s="19" t="s">
        <v>67</v>
      </c>
      <c r="H7" s="19" t="s">
        <v>67</v>
      </c>
    </row>
    <row r="8" ht="15">
      <c r="B8" s="20" t="s">
        <v>38</v>
      </c>
      <c r="C8" s="20" t="s">
        <v>39</v>
      </c>
      <c r="D8" s="20" t="s">
        <v>68</v>
      </c>
      <c r="E8" s="20" t="s">
        <v>69</v>
      </c>
      <c r="F8" s="20" t="s">
        <v>70</v>
      </c>
      <c r="G8" s="20" t="s">
        <v>71</v>
      </c>
      <c r="H8" s="20" t="s">
        <v>72</v>
      </c>
      <c r="I8" s="21" t="s">
        <v>73</v>
      </c>
    </row>
    <row r="9">
      <c r="B9" s="18" t="s">
        <v>45</v>
      </c>
      <c r="C9" s="18" t="s">
        <v>1</v>
      </c>
      <c r="D9" s="18">
        <v>80</v>
      </c>
      <c r="E9" s="18">
        <v>0</v>
      </c>
      <c r="F9" s="18">
        <v>63</v>
      </c>
      <c r="G9" s="18">
        <v>32</v>
      </c>
      <c r="H9" s="18">
        <v>15.5</v>
      </c>
      <c r="I9">
        <f>F9+G9</f>
        <v>95</v>
      </c>
      <c r="J9">
        <f>F9-H9</f>
        <v>47.5</v>
      </c>
    </row>
    <row r="10">
      <c r="B10" s="18" t="s">
        <v>47</v>
      </c>
      <c r="C10" s="18" t="s">
        <v>2</v>
      </c>
      <c r="D10" s="18">
        <v>120</v>
      </c>
      <c r="E10" s="18">
        <v>0</v>
      </c>
      <c r="F10" s="18">
        <v>95</v>
      </c>
      <c r="G10" s="18">
        <v>31</v>
      </c>
      <c r="H10" s="18">
        <v>27.5</v>
      </c>
      <c r="I10">
        <f t="shared" ref="I10:I11" si="7">F10+G10</f>
        <v>126</v>
      </c>
      <c r="J10">
        <f t="shared" ref="J10:J11" si="8">F10-H10</f>
        <v>67.5</v>
      </c>
    </row>
    <row r="11" ht="15">
      <c r="B11" s="17" t="s">
        <v>48</v>
      </c>
      <c r="C11" s="17" t="s">
        <v>49</v>
      </c>
      <c r="D11" s="17">
        <v>0</v>
      </c>
      <c r="E11" s="17">
        <v>-55</v>
      </c>
      <c r="F11" s="17">
        <v>135</v>
      </c>
      <c r="G11" s="17">
        <v>55</v>
      </c>
      <c r="H11" s="17">
        <v>1e+30</v>
      </c>
      <c r="I11">
        <f t="shared" si="7"/>
        <v>190</v>
      </c>
      <c r="J11">
        <f t="shared" si="8"/>
        <v>-1e+30</v>
      </c>
    </row>
    <row r="13" ht="15">
      <c r="A13" t="s">
        <v>50</v>
      </c>
    </row>
    <row r="14">
      <c r="B14" s="19"/>
      <c r="C14" s="19"/>
      <c r="D14" s="19" t="s">
        <v>64</v>
      </c>
      <c r="E14" s="19" t="s">
        <v>74</v>
      </c>
      <c r="F14" s="19" t="s">
        <v>75</v>
      </c>
      <c r="G14" s="19" t="s">
        <v>67</v>
      </c>
      <c r="H14" s="19" t="s">
        <v>67</v>
      </c>
    </row>
    <row r="15" ht="15">
      <c r="B15" s="20" t="s">
        <v>38</v>
      </c>
      <c r="C15" s="20" t="s">
        <v>39</v>
      </c>
      <c r="D15" s="20" t="s">
        <v>68</v>
      </c>
      <c r="E15" s="20" t="s">
        <v>76</v>
      </c>
      <c r="F15" s="20" t="s">
        <v>77</v>
      </c>
      <c r="G15" s="20" t="s">
        <v>71</v>
      </c>
      <c r="H15" s="20" t="s">
        <v>72</v>
      </c>
    </row>
    <row r="16">
      <c r="B16" s="18" t="s">
        <v>55</v>
      </c>
      <c r="C16" s="18"/>
      <c r="D16" s="18">
        <v>200</v>
      </c>
      <c r="E16" s="18">
        <v>31</v>
      </c>
      <c r="F16" s="18">
        <v>200</v>
      </c>
      <c r="G16" s="18">
        <v>80</v>
      </c>
      <c r="H16" s="18">
        <v>40</v>
      </c>
    </row>
    <row r="17">
      <c r="B17" s="18" t="s">
        <v>58</v>
      </c>
      <c r="C17" s="18"/>
      <c r="D17" s="18">
        <v>320</v>
      </c>
      <c r="E17" s="18">
        <v>32</v>
      </c>
      <c r="F17" s="18">
        <v>320</v>
      </c>
      <c r="G17" s="18">
        <v>80</v>
      </c>
      <c r="H17" s="18">
        <v>120</v>
      </c>
    </row>
    <row r="18" ht="15">
      <c r="B18" s="17" t="s">
        <v>60</v>
      </c>
      <c r="C18" s="17"/>
      <c r="D18" s="17">
        <v>2080</v>
      </c>
      <c r="E18" s="17">
        <v>0</v>
      </c>
      <c r="F18" s="17">
        <v>2400</v>
      </c>
      <c r="G18" s="17">
        <v>1e+30</v>
      </c>
      <c r="H18" s="17">
        <v>320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4.5"/>
  <cols>
    <col customWidth="1" min="1" max="1" width="2.1796875"/>
    <col bestFit="1" customWidth="1" min="2" max="2" width="4.81640625"/>
    <col bestFit="1" customWidth="1" min="3" max="3" width="8.7265625"/>
    <col bestFit="1" customWidth="1" min="4" max="4" width="5.81640625"/>
    <col customWidth="1" min="5" max="5" width="2.1796875"/>
    <col customWidth="1" min="6" max="6" width="5.90625"/>
    <col customWidth="1" min="8" max="8" width="2.1796875"/>
    <col customWidth="1" min="9" max="9" width="6"/>
  </cols>
  <sheetData>
    <row r="1">
      <c r="A1" s="15" t="s">
        <v>78</v>
      </c>
    </row>
    <row r="2">
      <c r="A2" s="15" t="s">
        <v>27</v>
      </c>
    </row>
    <row r="3">
      <c r="A3" s="15" t="s">
        <v>28</v>
      </c>
    </row>
    <row r="5" ht="15"/>
    <row r="6">
      <c r="B6" s="19"/>
      <c r="C6" s="19" t="s">
        <v>66</v>
      </c>
      <c r="D6" s="19"/>
    </row>
    <row r="7" ht="15">
      <c r="B7" s="20" t="s">
        <v>38</v>
      </c>
      <c r="C7" s="20" t="s">
        <v>39</v>
      </c>
      <c r="D7" s="20" t="s">
        <v>68</v>
      </c>
    </row>
    <row r="8" ht="15">
      <c r="B8" s="17" t="s">
        <v>42</v>
      </c>
      <c r="C8" s="17"/>
      <c r="D8" s="17">
        <v>16440</v>
      </c>
    </row>
    <row r="10" ht="15"/>
    <row r="11">
      <c r="B11" s="19"/>
      <c r="C11" s="19" t="s">
        <v>79</v>
      </c>
      <c r="D11" s="19"/>
      <c r="F11" s="19" t="s">
        <v>80</v>
      </c>
      <c r="G11" s="19" t="s">
        <v>66</v>
      </c>
      <c r="I11" s="19" t="s">
        <v>81</v>
      </c>
      <c r="J11" s="19" t="s">
        <v>66</v>
      </c>
    </row>
    <row r="12" ht="15">
      <c r="B12" s="20" t="s">
        <v>38</v>
      </c>
      <c r="C12" s="20" t="s">
        <v>39</v>
      </c>
      <c r="D12" s="20" t="s">
        <v>68</v>
      </c>
      <c r="F12" s="20" t="s">
        <v>82</v>
      </c>
      <c r="G12" s="20" t="s">
        <v>83</v>
      </c>
      <c r="I12" s="20" t="s">
        <v>82</v>
      </c>
      <c r="J12" s="20" t="s">
        <v>83</v>
      </c>
    </row>
    <row r="13">
      <c r="B13" s="18" t="s">
        <v>45</v>
      </c>
      <c r="C13" s="18" t="s">
        <v>1</v>
      </c>
      <c r="D13" s="18">
        <v>80</v>
      </c>
      <c r="F13" s="18">
        <v>0</v>
      </c>
      <c r="G13" s="18">
        <v>11400</v>
      </c>
      <c r="I13" s="18">
        <v>80</v>
      </c>
      <c r="J13" s="18">
        <v>16440</v>
      </c>
    </row>
    <row r="14">
      <c r="B14" s="18" t="s">
        <v>47</v>
      </c>
      <c r="C14" s="18" t="s">
        <v>2</v>
      </c>
      <c r="D14" s="18">
        <v>120</v>
      </c>
      <c r="F14" s="18">
        <v>0</v>
      </c>
      <c r="G14" s="18">
        <v>5040</v>
      </c>
      <c r="I14" s="18">
        <v>120</v>
      </c>
      <c r="J14" s="18">
        <v>16440</v>
      </c>
    </row>
    <row r="15" ht="15">
      <c r="B15" s="17" t="s">
        <v>48</v>
      </c>
      <c r="C15" s="17" t="s">
        <v>49</v>
      </c>
      <c r="D15" s="17">
        <v>0</v>
      </c>
      <c r="F15" s="17">
        <v>0</v>
      </c>
      <c r="G15" s="17">
        <v>16440</v>
      </c>
      <c r="I15" s="17">
        <v>0</v>
      </c>
      <c r="J15" s="17">
        <v>16440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" zoomScale="100" workbookViewId="0">
      <selection activeCell="J18" activeCellId="0" sqref="J18"/>
    </sheetView>
  </sheetViews>
  <sheetFormatPr defaultRowHeight="14.5"/>
  <cols>
    <col customWidth="1" min="5" max="5" width="5.08984375"/>
  </cols>
  <sheetData>
    <row r="1">
      <c r="A1" s="5" t="s">
        <v>84</v>
      </c>
      <c r="B1" s="5"/>
      <c r="C1" s="5"/>
      <c r="H1" s="5" t="s">
        <v>85</v>
      </c>
      <c r="I1" s="5"/>
      <c r="J1" s="5"/>
    </row>
    <row r="2">
      <c r="A2" s="6"/>
      <c r="B2" s="7"/>
      <c r="C2" s="7"/>
      <c r="D2" s="7"/>
      <c r="E2" s="7"/>
      <c r="F2" s="8"/>
      <c r="H2" s="6"/>
      <c r="I2" s="7"/>
      <c r="J2" s="7"/>
      <c r="K2" s="7"/>
      <c r="L2" s="7"/>
      <c r="M2" s="7"/>
      <c r="N2" s="8"/>
    </row>
    <row r="3">
      <c r="A3" s="9"/>
      <c r="B3" s="10" t="s">
        <v>1</v>
      </c>
      <c r="C3" s="10" t="s">
        <v>2</v>
      </c>
      <c r="D3" s="10"/>
      <c r="E3" s="10"/>
      <c r="F3" s="11"/>
      <c r="H3" s="9"/>
      <c r="I3" s="10" t="s">
        <v>1</v>
      </c>
      <c r="J3" s="10" t="s">
        <v>2</v>
      </c>
      <c r="K3" s="10" t="s">
        <v>49</v>
      </c>
      <c r="L3" s="10"/>
      <c r="M3" s="10"/>
      <c r="N3" s="11"/>
    </row>
    <row r="4">
      <c r="A4" s="9" t="s">
        <v>86</v>
      </c>
      <c r="B4" s="4">
        <v>15</v>
      </c>
      <c r="C4" s="4">
        <v>40</v>
      </c>
      <c r="D4" s="10"/>
      <c r="E4" s="10"/>
      <c r="F4" s="11"/>
      <c r="H4" s="9" t="s">
        <v>86</v>
      </c>
      <c r="I4" s="10">
        <v>63</v>
      </c>
      <c r="J4" s="10">
        <v>95</v>
      </c>
      <c r="K4" s="10">
        <v>135</v>
      </c>
      <c r="L4" s="10"/>
      <c r="M4" s="10"/>
      <c r="N4" s="11"/>
    </row>
    <row r="5">
      <c r="A5" s="9"/>
      <c r="B5" s="22">
        <v>24</v>
      </c>
      <c r="C5" s="22">
        <v>4</v>
      </c>
      <c r="D5" s="23">
        <f>SUMPRODUCT(B4:C4,B5:C5)</f>
        <v>520</v>
      </c>
      <c r="E5" s="10"/>
      <c r="F5" s="11"/>
      <c r="H5" s="9"/>
      <c r="I5" s="22">
        <v>80</v>
      </c>
      <c r="J5" s="22">
        <v>120</v>
      </c>
      <c r="K5" s="22">
        <v>0</v>
      </c>
      <c r="L5" s="10">
        <f>SUMPRODUCT(I4:K4,I5:K5)</f>
        <v>16440</v>
      </c>
      <c r="M5" s="10"/>
      <c r="N5" s="11"/>
    </row>
    <row r="6">
      <c r="A6" s="9"/>
      <c r="B6" s="10"/>
      <c r="C6" s="10"/>
      <c r="D6" s="10"/>
      <c r="E6" s="10"/>
      <c r="F6" s="11"/>
      <c r="H6" s="9"/>
      <c r="I6" s="10"/>
      <c r="J6" s="10"/>
      <c r="K6" s="10"/>
      <c r="L6" s="10"/>
      <c r="M6" s="10"/>
      <c r="N6" s="11"/>
    </row>
    <row r="7">
      <c r="A7" s="9" t="s">
        <v>5</v>
      </c>
      <c r="B7" s="10">
        <f>Sheet2!F5</f>
        <v>2</v>
      </c>
      <c r="C7" s="10">
        <f>Sheet2!G5</f>
        <v>3</v>
      </c>
      <c r="D7" s="22">
        <f t="shared" ref="D7:D8" si="9">SUMPRODUCT(B$5:C$5,B7:C7)</f>
        <v>60</v>
      </c>
      <c r="E7" s="10" t="s">
        <v>87</v>
      </c>
      <c r="F7" s="11">
        <v>60</v>
      </c>
      <c r="H7" s="9"/>
      <c r="I7" s="22"/>
      <c r="J7" s="22"/>
      <c r="K7" s="22"/>
      <c r="L7" s="10"/>
      <c r="M7" s="10"/>
      <c r="N7" s="11"/>
    </row>
    <row r="8">
      <c r="A8" s="9" t="s">
        <v>6</v>
      </c>
      <c r="B8" s="10">
        <f>Sheet2!F6</f>
        <v>1</v>
      </c>
      <c r="C8" s="10">
        <f>Sheet2!G6</f>
        <v>4</v>
      </c>
      <c r="D8" s="22">
        <f t="shared" si="9"/>
        <v>40</v>
      </c>
      <c r="E8" s="10" t="s">
        <v>87</v>
      </c>
      <c r="F8" s="11">
        <v>40</v>
      </c>
      <c r="H8" s="9"/>
      <c r="I8" s="10"/>
      <c r="J8" s="10"/>
      <c r="K8" s="10"/>
      <c r="L8" s="10"/>
      <c r="M8" s="10"/>
      <c r="N8" s="11"/>
    </row>
    <row r="9">
      <c r="A9" s="9"/>
      <c r="B9" s="10"/>
      <c r="C9" s="10"/>
      <c r="D9" s="24"/>
      <c r="E9" s="10"/>
      <c r="F9" s="11"/>
      <c r="H9" s="9"/>
      <c r="I9" s="10">
        <v>1</v>
      </c>
      <c r="J9" s="10">
        <v>1</v>
      </c>
      <c r="K9" s="10">
        <v>2</v>
      </c>
      <c r="L9" s="10">
        <f>SUMPRODUCT(I$5:K$5,I9:K9)</f>
        <v>200</v>
      </c>
      <c r="M9" s="10">
        <v>200</v>
      </c>
      <c r="N9" s="11"/>
    </row>
    <row r="10">
      <c r="A10" s="9"/>
      <c r="B10" s="10"/>
      <c r="C10" s="10"/>
      <c r="D10" s="10"/>
      <c r="E10" s="10"/>
      <c r="F10" s="11"/>
      <c r="H10" s="9"/>
      <c r="I10" s="10">
        <v>1</v>
      </c>
      <c r="J10" s="10">
        <v>2</v>
      </c>
      <c r="K10" s="10">
        <v>4</v>
      </c>
      <c r="L10" s="10">
        <f t="shared" ref="L10:L11" si="10">SUMPRODUCT(I$5:K$5,I10:K10)</f>
        <v>320</v>
      </c>
      <c r="M10" s="10">
        <v>320</v>
      </c>
      <c r="N10" s="11"/>
    </row>
    <row r="11">
      <c r="A11" s="12"/>
      <c r="B11" s="13"/>
      <c r="C11" s="13"/>
      <c r="D11" s="13"/>
      <c r="E11" s="13"/>
      <c r="F11" s="14"/>
      <c r="H11" s="9"/>
      <c r="I11" s="10">
        <v>8</v>
      </c>
      <c r="J11" s="10">
        <v>12</v>
      </c>
      <c r="K11" s="10">
        <v>14</v>
      </c>
      <c r="L11" s="10">
        <f t="shared" si="10"/>
        <v>2080</v>
      </c>
      <c r="M11" s="10">
        <v>2400</v>
      </c>
      <c r="N11" s="11"/>
    </row>
    <row r="12">
      <c r="H12" s="12"/>
      <c r="I12" s="13"/>
      <c r="J12" s="13"/>
      <c r="K12" s="13"/>
      <c r="L12" s="13"/>
      <c r="M12" s="13"/>
      <c r="N12" s="14"/>
    </row>
    <row r="14">
      <c r="B14" t="s">
        <v>88</v>
      </c>
    </row>
    <row r="15">
      <c r="B15" s="6" t="s">
        <v>1</v>
      </c>
      <c r="C15" s="7" t="s">
        <v>2</v>
      </c>
      <c r="D15" s="7"/>
      <c r="E15" s="7"/>
      <c r="F15" s="7"/>
      <c r="G15" s="8"/>
    </row>
    <row r="16">
      <c r="A16" t="s">
        <v>89</v>
      </c>
      <c r="B16" s="9">
        <v>15</v>
      </c>
      <c r="C16" s="10">
        <v>40</v>
      </c>
      <c r="D16" s="10"/>
      <c r="E16" s="10"/>
      <c r="F16" s="10"/>
      <c r="G16" s="11"/>
    </row>
    <row r="17">
      <c r="B17" s="25">
        <v>0</v>
      </c>
      <c r="C17" s="22">
        <v>0</v>
      </c>
      <c r="D17" s="10">
        <f>SUMPRODUCT(B16:C16,B17:C17)</f>
        <v>0</v>
      </c>
      <c r="E17" s="10"/>
      <c r="F17" s="10"/>
      <c r="G17" s="11"/>
    </row>
    <row r="18">
      <c r="B18" s="9"/>
      <c r="C18" s="10"/>
      <c r="D18" s="10"/>
      <c r="E18" s="10"/>
      <c r="F18" s="10"/>
      <c r="G18" s="11"/>
    </row>
    <row r="19">
      <c r="B19" s="9"/>
      <c r="C19" s="10"/>
      <c r="D19" s="10"/>
      <c r="E19" s="10"/>
      <c r="F19" s="10"/>
      <c r="G19" s="11"/>
    </row>
    <row r="20">
      <c r="B20" s="9"/>
      <c r="C20" s="10"/>
      <c r="D20" s="10"/>
      <c r="E20" s="10"/>
      <c r="F20" s="10"/>
      <c r="G20" s="11"/>
    </row>
    <row r="21">
      <c r="A21" t="s">
        <v>5</v>
      </c>
      <c r="B21" s="9">
        <v>2</v>
      </c>
      <c r="C21" s="10">
        <v>3</v>
      </c>
      <c r="D21" s="10">
        <f t="shared" ref="D21:D22" si="11">SUMPRODUCT(B$17:C$17,B21:C21)</f>
        <v>0</v>
      </c>
      <c r="E21" s="10" t="s">
        <v>87</v>
      </c>
      <c r="F21" s="10">
        <v>60</v>
      </c>
      <c r="G21" s="11"/>
    </row>
    <row r="22">
      <c r="A22" t="s">
        <v>6</v>
      </c>
      <c r="B22" s="12">
        <v>1</v>
      </c>
      <c r="C22" s="13">
        <v>4</v>
      </c>
      <c r="D22" s="13">
        <f t="shared" si="11"/>
        <v>0</v>
      </c>
      <c r="E22" s="13" t="s">
        <v>87</v>
      </c>
      <c r="F22" s="13">
        <v>40</v>
      </c>
      <c r="G22" s="14"/>
    </row>
  </sheetData>
  <mergeCells count="2">
    <mergeCell ref="A1:C1"/>
    <mergeCell ref="H1:J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J18" activeCellId="0" sqref="J18"/>
    </sheetView>
  </sheetViews>
  <sheetFormatPr defaultRowHeight="14.25"/>
  <sheetData>
    <row r="2">
      <c r="B2" t="s">
        <v>90</v>
      </c>
      <c r="F2">
        <f>SUM(G5:G7)</f>
        <v>150</v>
      </c>
    </row>
    <row r="3">
      <c r="A3" s="4"/>
      <c r="B3" s="26" t="s">
        <v>91</v>
      </c>
      <c r="C3" s="2" t="s">
        <v>92</v>
      </c>
      <c r="D3" s="2"/>
      <c r="E3" s="2"/>
      <c r="G3" s="2" t="s">
        <v>93</v>
      </c>
    </row>
    <row r="4">
      <c r="A4" s="4"/>
      <c r="B4" s="26"/>
      <c r="C4" s="2" t="s">
        <v>94</v>
      </c>
      <c r="D4" s="2" t="s">
        <v>95</v>
      </c>
      <c r="E4" s="2" t="s">
        <v>96</v>
      </c>
      <c r="G4" s="2"/>
    </row>
    <row r="5">
      <c r="A5" s="4"/>
      <c r="B5" s="2" t="s">
        <v>97</v>
      </c>
      <c r="C5" s="27">
        <v>0</v>
      </c>
      <c r="D5" s="27">
        <v>15</v>
      </c>
      <c r="E5" s="27">
        <v>35</v>
      </c>
      <c r="F5" s="15">
        <f t="shared" ref="F5:F7" si="12">SUM(C5:E5)</f>
        <v>50</v>
      </c>
      <c r="G5" s="2">
        <v>50</v>
      </c>
    </row>
    <row r="6">
      <c r="A6" s="4"/>
      <c r="B6" s="2" t="s">
        <v>98</v>
      </c>
      <c r="C6" s="27">
        <v>0</v>
      </c>
      <c r="D6" s="27">
        <v>40</v>
      </c>
      <c r="E6" s="27">
        <v>0</v>
      </c>
      <c r="F6" s="15">
        <f t="shared" si="12"/>
        <v>40</v>
      </c>
      <c r="G6" s="2">
        <v>40</v>
      </c>
    </row>
    <row r="7">
      <c r="A7" s="4"/>
      <c r="B7" s="2" t="s">
        <v>99</v>
      </c>
      <c r="C7" s="27">
        <v>20</v>
      </c>
      <c r="D7" s="27">
        <v>40</v>
      </c>
      <c r="E7" s="27">
        <v>0</v>
      </c>
      <c r="F7" s="15">
        <f t="shared" si="12"/>
        <v>60</v>
      </c>
      <c r="G7" s="2">
        <v>60</v>
      </c>
    </row>
    <row r="8">
      <c r="A8" s="4">
        <f>SUM(C9:E9)</f>
        <v>150</v>
      </c>
      <c r="B8" s="4" t="s">
        <v>100</v>
      </c>
      <c r="C8" s="15">
        <f>SUM(C5:C7)</f>
        <v>20</v>
      </c>
      <c r="D8" s="15">
        <f t="shared" ref="D8:E8" si="13">SUM(D5:D7)</f>
        <v>95</v>
      </c>
      <c r="E8" s="15">
        <f t="shared" si="13"/>
        <v>35</v>
      </c>
      <c r="G8" s="2">
        <v>150</v>
      </c>
    </row>
    <row r="9">
      <c r="B9" s="2" t="s">
        <v>101</v>
      </c>
      <c r="C9" s="2">
        <v>20</v>
      </c>
      <c r="D9" s="2">
        <v>95</v>
      </c>
      <c r="E9" s="2">
        <v>35</v>
      </c>
    </row>
    <row r="11">
      <c r="A11" t="s">
        <v>102</v>
      </c>
      <c r="B11" s="28">
        <f>SUMPRODUCT(C5:E7,C17:E19)</f>
        <v>920</v>
      </c>
    </row>
    <row r="15">
      <c r="B15" s="26" t="s">
        <v>91</v>
      </c>
      <c r="C15" s="2" t="s">
        <v>92</v>
      </c>
      <c r="D15" s="2"/>
      <c r="E15" s="2"/>
      <c r="F15" s="2" t="s">
        <v>93</v>
      </c>
    </row>
    <row r="16">
      <c r="B16" s="26"/>
      <c r="C16" s="2" t="s">
        <v>94</v>
      </c>
      <c r="D16" s="2" t="s">
        <v>95</v>
      </c>
      <c r="E16" s="2" t="s">
        <v>96</v>
      </c>
      <c r="F16" s="2"/>
    </row>
    <row r="17">
      <c r="B17" s="2" t="s">
        <v>97</v>
      </c>
      <c r="C17" s="2">
        <v>5</v>
      </c>
      <c r="D17" s="2">
        <v>8</v>
      </c>
      <c r="E17" s="2">
        <v>4</v>
      </c>
      <c r="F17" s="2">
        <v>50</v>
      </c>
    </row>
    <row r="18">
      <c r="B18" s="2" t="s">
        <v>98</v>
      </c>
      <c r="C18" s="2">
        <v>6</v>
      </c>
      <c r="D18" s="2">
        <v>6</v>
      </c>
      <c r="E18" s="2">
        <v>3</v>
      </c>
      <c r="F18" s="2">
        <v>40</v>
      </c>
    </row>
    <row r="19">
      <c r="B19" s="2" t="s">
        <v>99</v>
      </c>
      <c r="C19" s="2">
        <v>3</v>
      </c>
      <c r="D19" s="2">
        <v>9</v>
      </c>
      <c r="E19" s="2">
        <v>6</v>
      </c>
      <c r="F19" s="2">
        <v>60</v>
      </c>
    </row>
    <row r="20">
      <c r="B20" s="2" t="s">
        <v>101</v>
      </c>
      <c r="C20" s="2">
        <v>20</v>
      </c>
      <c r="D20" s="2">
        <v>95</v>
      </c>
      <c r="E20" s="2">
        <v>35</v>
      </c>
      <c r="F20" s="2">
        <v>150</v>
      </c>
    </row>
  </sheetData>
  <mergeCells count="6">
    <mergeCell ref="B3:B4"/>
    <mergeCell ref="C3:E3"/>
    <mergeCell ref="G3:G4"/>
    <mergeCell ref="B15:B16"/>
    <mergeCell ref="C15:E15"/>
    <mergeCell ref="F15:F16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H39" activeCellId="0" sqref="H39"/>
    </sheetView>
  </sheetViews>
  <sheetFormatPr defaultRowHeight="14.5"/>
  <sheetData>
    <row r="1">
      <c r="I1">
        <f>SUM(I4:I9)</f>
        <v>100</v>
      </c>
    </row>
    <row r="2">
      <c r="B2" s="29" t="s">
        <v>103</v>
      </c>
      <c r="C2" s="29" t="s">
        <v>104</v>
      </c>
      <c r="D2" s="29"/>
      <c r="E2" s="29"/>
      <c r="F2" s="29"/>
      <c r="G2" s="29"/>
      <c r="H2" s="29"/>
      <c r="I2" s="29" t="s">
        <v>105</v>
      </c>
    </row>
    <row r="3">
      <c r="B3" s="29"/>
      <c r="C3" s="30" t="s">
        <v>106</v>
      </c>
      <c r="D3" s="30" t="s">
        <v>107</v>
      </c>
      <c r="E3" s="30" t="s">
        <v>108</v>
      </c>
      <c r="F3" s="30" t="s">
        <v>109</v>
      </c>
      <c r="G3" s="30" t="s">
        <v>110</v>
      </c>
      <c r="H3" s="30" t="s">
        <v>111</v>
      </c>
      <c r="I3" s="29"/>
    </row>
    <row r="4">
      <c r="B4" s="30" t="s">
        <v>112</v>
      </c>
      <c r="C4" s="1">
        <v>4</v>
      </c>
      <c r="D4" s="1">
        <v>7</v>
      </c>
      <c r="E4" s="1">
        <v>8</v>
      </c>
      <c r="F4" s="1">
        <v>5</v>
      </c>
      <c r="G4" s="1">
        <v>6</v>
      </c>
      <c r="H4" s="1">
        <v>0</v>
      </c>
      <c r="I4" s="1">
        <v>15</v>
      </c>
    </row>
    <row r="5">
      <c r="B5" s="30" t="s">
        <v>113</v>
      </c>
      <c r="C5" s="1">
        <v>6</v>
      </c>
      <c r="D5" s="1">
        <v>2</v>
      </c>
      <c r="E5" s="1">
        <v>5</v>
      </c>
      <c r="F5" s="1">
        <v>8</v>
      </c>
      <c r="G5" s="1">
        <v>3</v>
      </c>
      <c r="H5" s="1">
        <v>0</v>
      </c>
      <c r="I5" s="1">
        <v>10</v>
      </c>
    </row>
    <row r="6">
      <c r="B6" s="30" t="s">
        <v>114</v>
      </c>
      <c r="C6" s="1">
        <v>7</v>
      </c>
      <c r="D6" s="1">
        <v>2</v>
      </c>
      <c r="E6" s="1">
        <v>5</v>
      </c>
      <c r="F6" s="1">
        <v>4</v>
      </c>
      <c r="G6" s="1">
        <v>4</v>
      </c>
      <c r="H6" s="1">
        <v>0</v>
      </c>
      <c r="I6" s="1">
        <v>15</v>
      </c>
    </row>
    <row r="7">
      <c r="B7" s="30" t="s">
        <v>115</v>
      </c>
      <c r="C7" s="1">
        <v>5</v>
      </c>
      <c r="D7" s="1">
        <v>4</v>
      </c>
      <c r="E7" s="1">
        <v>7</v>
      </c>
      <c r="F7" s="1">
        <v>4</v>
      </c>
      <c r="G7" s="1">
        <v>8</v>
      </c>
      <c r="H7" s="1">
        <v>0</v>
      </c>
      <c r="I7" s="1">
        <v>25</v>
      </c>
    </row>
    <row r="8">
      <c r="B8" s="30" t="s">
        <v>116</v>
      </c>
      <c r="C8" s="1">
        <v>5</v>
      </c>
      <c r="D8" s="1">
        <v>8</v>
      </c>
      <c r="E8" s="1">
        <v>7</v>
      </c>
      <c r="F8" s="1">
        <v>4</v>
      </c>
      <c r="G8" s="1">
        <v>8</v>
      </c>
      <c r="H8" s="1">
        <v>0</v>
      </c>
      <c r="I8" s="1">
        <v>15</v>
      </c>
    </row>
    <row r="9">
      <c r="B9" s="30" t="s">
        <v>117</v>
      </c>
      <c r="C9" s="1">
        <v>5</v>
      </c>
      <c r="D9" s="1">
        <v>2</v>
      </c>
      <c r="E9" s="1">
        <v>6</v>
      </c>
      <c r="F9" s="1">
        <v>9</v>
      </c>
      <c r="G9" s="1">
        <v>6</v>
      </c>
      <c r="H9" s="1">
        <v>0</v>
      </c>
      <c r="I9" s="1">
        <v>20</v>
      </c>
    </row>
    <row r="10">
      <c r="A10">
        <f>SUM(C10:H10)</f>
        <v>100</v>
      </c>
      <c r="B10" s="30" t="s">
        <v>101</v>
      </c>
      <c r="C10" s="1">
        <v>10</v>
      </c>
      <c r="D10" s="1">
        <v>10</v>
      </c>
      <c r="E10" s="1">
        <v>15</v>
      </c>
      <c r="F10" s="1">
        <v>25</v>
      </c>
      <c r="G10" s="1">
        <v>30</v>
      </c>
      <c r="H10" s="1">
        <v>10</v>
      </c>
      <c r="I10" s="1"/>
    </row>
    <row r="12">
      <c r="B12" s="29" t="s">
        <v>103</v>
      </c>
      <c r="C12" s="29" t="s">
        <v>104</v>
      </c>
      <c r="D12" s="29"/>
      <c r="E12" s="29"/>
      <c r="F12" s="29"/>
      <c r="G12" s="29"/>
      <c r="H12" s="29"/>
      <c r="J12" s="29" t="s">
        <v>105</v>
      </c>
    </row>
    <row r="13">
      <c r="B13" s="29"/>
      <c r="C13" s="30" t="s">
        <v>106</v>
      </c>
      <c r="D13" s="30" t="s">
        <v>107</v>
      </c>
      <c r="E13" s="30" t="s">
        <v>108</v>
      </c>
      <c r="F13" s="30" t="s">
        <v>109</v>
      </c>
      <c r="G13" s="30" t="s">
        <v>110</v>
      </c>
      <c r="H13" s="30" t="s">
        <v>111</v>
      </c>
      <c r="I13" s="31" t="s">
        <v>100</v>
      </c>
      <c r="J13" s="29"/>
    </row>
    <row r="14">
      <c r="B14" s="30" t="s">
        <v>112</v>
      </c>
      <c r="C14" s="32">
        <v>10</v>
      </c>
      <c r="D14" s="32">
        <v>0</v>
      </c>
      <c r="E14" s="32">
        <v>0</v>
      </c>
      <c r="F14" s="32">
        <v>0</v>
      </c>
      <c r="G14" s="32">
        <v>5</v>
      </c>
      <c r="H14" s="32">
        <v>0</v>
      </c>
      <c r="I14" s="33">
        <f t="shared" ref="I14:I19" si="14">SUM(C14:H14)</f>
        <v>15</v>
      </c>
      <c r="J14" s="1">
        <v>15</v>
      </c>
    </row>
    <row r="15">
      <c r="B15" s="30" t="s">
        <v>113</v>
      </c>
      <c r="C15" s="32">
        <v>0</v>
      </c>
      <c r="D15" s="32">
        <v>0</v>
      </c>
      <c r="E15" s="32">
        <v>0</v>
      </c>
      <c r="F15" s="32">
        <v>0</v>
      </c>
      <c r="G15" s="32">
        <v>10</v>
      </c>
      <c r="H15" s="32">
        <v>0</v>
      </c>
      <c r="I15" s="33">
        <f t="shared" si="14"/>
        <v>10</v>
      </c>
      <c r="J15" s="1">
        <v>10</v>
      </c>
    </row>
    <row r="16">
      <c r="B16" s="30" t="s">
        <v>114</v>
      </c>
      <c r="C16" s="32">
        <v>0</v>
      </c>
      <c r="D16" s="32">
        <v>0</v>
      </c>
      <c r="E16" s="32">
        <v>0</v>
      </c>
      <c r="F16" s="32">
        <v>0</v>
      </c>
      <c r="G16" s="32">
        <v>15</v>
      </c>
      <c r="H16" s="32">
        <v>0</v>
      </c>
      <c r="I16" s="33">
        <f t="shared" si="14"/>
        <v>15</v>
      </c>
      <c r="J16" s="1">
        <v>15</v>
      </c>
    </row>
    <row r="17">
      <c r="B17" s="30" t="s">
        <v>115</v>
      </c>
      <c r="C17" s="32">
        <v>0</v>
      </c>
      <c r="D17" s="32">
        <v>0</v>
      </c>
      <c r="E17" s="32">
        <v>0</v>
      </c>
      <c r="F17" s="32">
        <v>15</v>
      </c>
      <c r="G17" s="32">
        <v>0</v>
      </c>
      <c r="H17" s="32">
        <v>10</v>
      </c>
      <c r="I17" s="33">
        <f t="shared" si="14"/>
        <v>25</v>
      </c>
      <c r="J17" s="1">
        <v>25</v>
      </c>
    </row>
    <row r="18">
      <c r="B18" s="30" t="s">
        <v>116</v>
      </c>
      <c r="C18" s="32">
        <v>0</v>
      </c>
      <c r="D18" s="32">
        <v>0</v>
      </c>
      <c r="E18" s="32">
        <v>5</v>
      </c>
      <c r="F18" s="32">
        <v>10</v>
      </c>
      <c r="G18" s="32">
        <v>0</v>
      </c>
      <c r="H18" s="32">
        <v>0</v>
      </c>
      <c r="I18" s="33">
        <f t="shared" si="14"/>
        <v>15</v>
      </c>
      <c r="J18" s="1">
        <v>15</v>
      </c>
    </row>
    <row r="19">
      <c r="B19" s="30" t="s">
        <v>117</v>
      </c>
      <c r="C19" s="32">
        <v>0</v>
      </c>
      <c r="D19" s="32">
        <v>10</v>
      </c>
      <c r="E19" s="32">
        <v>10</v>
      </c>
      <c r="F19" s="32">
        <v>0</v>
      </c>
      <c r="G19" s="32">
        <v>0</v>
      </c>
      <c r="H19" s="32">
        <v>0</v>
      </c>
      <c r="I19" s="33">
        <f t="shared" si="14"/>
        <v>20</v>
      </c>
      <c r="J19" s="1">
        <v>20</v>
      </c>
    </row>
    <row r="20">
      <c r="B20" s="31" t="s">
        <v>100</v>
      </c>
      <c r="C20" s="33">
        <f>SUM(C14:C19)</f>
        <v>10</v>
      </c>
      <c r="D20" s="33">
        <f t="shared" ref="D20:H20" si="15">SUM(D14:D19)</f>
        <v>10</v>
      </c>
      <c r="E20" s="33">
        <f t="shared" si="15"/>
        <v>15</v>
      </c>
      <c r="F20" s="33">
        <f t="shared" si="15"/>
        <v>25</v>
      </c>
      <c r="G20" s="33">
        <f t="shared" si="15"/>
        <v>30</v>
      </c>
      <c r="H20" s="33">
        <f t="shared" si="15"/>
        <v>10</v>
      </c>
      <c r="J20" s="1"/>
    </row>
    <row r="21">
      <c r="B21" s="30" t="s">
        <v>101</v>
      </c>
      <c r="C21" s="1">
        <v>10</v>
      </c>
      <c r="D21" s="1">
        <v>10</v>
      </c>
      <c r="E21" s="1">
        <v>15</v>
      </c>
      <c r="F21" s="1">
        <v>25</v>
      </c>
      <c r="G21" s="1">
        <v>30</v>
      </c>
      <c r="H21" s="1">
        <v>10</v>
      </c>
    </row>
    <row r="22">
      <c r="B22" s="15"/>
      <c r="C22" s="10"/>
      <c r="D22" s="10"/>
      <c r="E22" s="10"/>
      <c r="F22" s="10"/>
      <c r="G22" s="10"/>
      <c r="H22" s="10"/>
    </row>
    <row r="23">
      <c r="A23" t="s">
        <v>102</v>
      </c>
      <c r="C23" s="23">
        <f>SUMPRODUCT(C4:H9,C14:H19)</f>
        <v>375</v>
      </c>
    </row>
    <row r="28">
      <c r="B28" s="4" t="s">
        <v>91</v>
      </c>
      <c r="C28" s="4" t="s">
        <v>92</v>
      </c>
      <c r="D28" s="4"/>
      <c r="E28" s="4"/>
      <c r="F28" s="4"/>
      <c r="J28" s="4" t="s">
        <v>91</v>
      </c>
      <c r="K28" s="4" t="s">
        <v>92</v>
      </c>
      <c r="L28" s="4"/>
      <c r="M28" s="4"/>
      <c r="N28" s="4"/>
    </row>
    <row r="29">
      <c r="B29" s="4"/>
      <c r="C29" t="s">
        <v>118</v>
      </c>
      <c r="D29" t="s">
        <v>119</v>
      </c>
      <c r="E29" t="s">
        <v>120</v>
      </c>
      <c r="F29" t="s">
        <v>121</v>
      </c>
      <c r="G29" t="s">
        <v>100</v>
      </c>
      <c r="J29" s="4"/>
      <c r="K29" t="s">
        <v>118</v>
      </c>
      <c r="L29" t="s">
        <v>119</v>
      </c>
      <c r="M29" t="s">
        <v>120</v>
      </c>
      <c r="N29" t="s">
        <v>121</v>
      </c>
      <c r="P29" t="s">
        <v>100</v>
      </c>
    </row>
    <row r="30">
      <c r="B30" t="s">
        <v>97</v>
      </c>
      <c r="C30">
        <v>5</v>
      </c>
      <c r="D30">
        <v>8</v>
      </c>
      <c r="E30">
        <v>3</v>
      </c>
      <c r="F30">
        <v>6</v>
      </c>
      <c r="G30">
        <v>30</v>
      </c>
      <c r="J30" t="s">
        <v>97</v>
      </c>
      <c r="K30">
        <v>0</v>
      </c>
      <c r="L30">
        <v>0</v>
      </c>
      <c r="M30">
        <v>30</v>
      </c>
      <c r="N30">
        <v>0</v>
      </c>
      <c r="O30">
        <f t="shared" ref="O30:O32" si="16">SUM(K30:N30)</f>
        <v>30</v>
      </c>
      <c r="P30">
        <v>30</v>
      </c>
    </row>
    <row r="31">
      <c r="B31" t="s">
        <v>98</v>
      </c>
      <c r="C31">
        <v>4</v>
      </c>
      <c r="D31">
        <v>5</v>
      </c>
      <c r="E31">
        <v>7</v>
      </c>
      <c r="F31">
        <v>4</v>
      </c>
      <c r="G31">
        <v>50</v>
      </c>
      <c r="J31" t="s">
        <v>98</v>
      </c>
      <c r="K31">
        <v>30</v>
      </c>
      <c r="L31">
        <v>0</v>
      </c>
      <c r="M31">
        <v>0</v>
      </c>
      <c r="N31">
        <v>20</v>
      </c>
      <c r="O31">
        <f t="shared" si="16"/>
        <v>50</v>
      </c>
      <c r="P31">
        <v>50</v>
      </c>
    </row>
    <row r="32">
      <c r="B32" t="s">
        <v>99</v>
      </c>
      <c r="C32">
        <v>6</v>
      </c>
      <c r="D32">
        <v>2</v>
      </c>
      <c r="E32">
        <v>4</v>
      </c>
      <c r="F32">
        <v>5</v>
      </c>
      <c r="G32">
        <v>40</v>
      </c>
      <c r="J32" t="s">
        <v>99</v>
      </c>
      <c r="K32">
        <v>0</v>
      </c>
      <c r="L32">
        <v>20</v>
      </c>
      <c r="M32">
        <v>10</v>
      </c>
      <c r="N32">
        <v>10</v>
      </c>
      <c r="O32">
        <f t="shared" si="16"/>
        <v>40</v>
      </c>
      <c r="P32">
        <v>40</v>
      </c>
    </row>
    <row r="33">
      <c r="B33" t="s">
        <v>100</v>
      </c>
      <c r="C33">
        <v>30</v>
      </c>
      <c r="D33">
        <v>20</v>
      </c>
      <c r="E33">
        <v>40</v>
      </c>
      <c r="F33">
        <v>30</v>
      </c>
      <c r="K33">
        <f>SUM(K30:K32)</f>
        <v>30</v>
      </c>
      <c r="L33">
        <f t="shared" ref="L33:N33" si="17">SUM(L30:L32)</f>
        <v>20</v>
      </c>
      <c r="M33">
        <f t="shared" si="17"/>
        <v>40</v>
      </c>
      <c r="N33">
        <f t="shared" si="17"/>
        <v>30</v>
      </c>
    </row>
    <row r="34">
      <c r="J34" t="s">
        <v>100</v>
      </c>
      <c r="K34">
        <v>30</v>
      </c>
      <c r="L34">
        <v>20</v>
      </c>
      <c r="M34">
        <v>40</v>
      </c>
      <c r="N34">
        <v>30</v>
      </c>
    </row>
    <row r="36">
      <c r="K36">
        <f>SUMPRODUCT(C30:F32,K30:N32)</f>
        <v>420</v>
      </c>
    </row>
    <row r="38">
      <c r="C38" s="24"/>
      <c r="D38" s="24"/>
      <c r="E38" s="24"/>
      <c r="F38" s="24"/>
    </row>
    <row r="39">
      <c r="C39" s="24"/>
      <c r="D39" s="24"/>
      <c r="E39" s="24"/>
      <c r="F39" s="24"/>
    </row>
    <row r="40">
      <c r="C40" s="24"/>
      <c r="D40" s="24"/>
      <c r="E40" s="24"/>
      <c r="F40" s="24"/>
    </row>
  </sheetData>
  <mergeCells count="10">
    <mergeCell ref="C28:F28"/>
    <mergeCell ref="B28:B29"/>
    <mergeCell ref="J28:J29"/>
    <mergeCell ref="K28:N28"/>
    <mergeCell ref="C2:G2"/>
    <mergeCell ref="I2:I3"/>
    <mergeCell ref="B2:B3"/>
    <mergeCell ref="B12:B13"/>
    <mergeCell ref="C12:G12"/>
    <mergeCell ref="J12:J1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M3" activeCellId="1" sqref="I3:I12 M3:N12"/>
    </sheetView>
  </sheetViews>
  <sheetFormatPr defaultRowHeight="14.5"/>
  <sheetData>
    <row r="1">
      <c r="C1" s="4" t="s">
        <v>122</v>
      </c>
      <c r="D1" s="4"/>
      <c r="E1" s="4"/>
      <c r="F1" s="4"/>
      <c r="G1" s="4"/>
    </row>
    <row r="2">
      <c r="B2" s="4" t="s">
        <v>123</v>
      </c>
      <c r="C2" s="4">
        <v>1</v>
      </c>
      <c r="D2" s="4">
        <v>2</v>
      </c>
      <c r="E2" s="4">
        <v>3</v>
      </c>
      <c r="F2" s="4">
        <v>4</v>
      </c>
      <c r="G2" s="4">
        <v>5</v>
      </c>
      <c r="H2" t="s">
        <v>124</v>
      </c>
      <c r="I2" t="s">
        <v>125</v>
      </c>
      <c r="J2" t="s">
        <v>126</v>
      </c>
      <c r="K2" t="s">
        <v>127</v>
      </c>
      <c r="L2" t="s">
        <v>120</v>
      </c>
    </row>
    <row r="3">
      <c r="B3" s="4">
        <v>1</v>
      </c>
      <c r="C3" s="4">
        <v>55</v>
      </c>
      <c r="D3" s="4">
        <v>48</v>
      </c>
      <c r="E3" s="4">
        <v>43</v>
      </c>
      <c r="F3" s="4">
        <v>60</v>
      </c>
      <c r="G3" s="4">
        <v>58</v>
      </c>
      <c r="H3" s="34">
        <f t="shared" ref="H3:H12" si="18">COUNT(C3:G3)</f>
        <v>5</v>
      </c>
      <c r="I3" s="35">
        <f t="shared" ref="I3:I12" si="19">AVERAGE(C3:G3)</f>
        <v>52.799999999999997</v>
      </c>
      <c r="J3">
        <f t="shared" ref="J3:J12" si="20">MIN(C3:G3)</f>
        <v>43</v>
      </c>
      <c r="K3">
        <f t="shared" ref="K3:K12" si="21">MAX(C3:G3)</f>
        <v>60</v>
      </c>
      <c r="L3">
        <f t="shared" ref="L3:L12" si="22">K3-J3</f>
        <v>17</v>
      </c>
      <c r="M3">
        <f>L16</f>
        <v>81.10560000000001</v>
      </c>
      <c r="N3">
        <f>L17</f>
        <v>43.254400000000011</v>
      </c>
    </row>
    <row r="4">
      <c r="B4" s="4">
        <v>2</v>
      </c>
      <c r="C4" s="4">
        <v>60</v>
      </c>
      <c r="D4" s="4">
        <v>67</v>
      </c>
      <c r="E4" s="4">
        <v>45</v>
      </c>
      <c r="F4" s="4">
        <v>54</v>
      </c>
      <c r="G4" s="4">
        <v>66</v>
      </c>
      <c r="H4" s="34">
        <f t="shared" si="18"/>
        <v>5</v>
      </c>
      <c r="I4" s="35">
        <f t="shared" si="19"/>
        <v>58.399999999999999</v>
      </c>
      <c r="J4">
        <f t="shared" si="20"/>
        <v>45</v>
      </c>
      <c r="K4">
        <f t="shared" si="21"/>
        <v>67</v>
      </c>
      <c r="L4">
        <f t="shared" si="22"/>
        <v>22</v>
      </c>
      <c r="M4">
        <f t="shared" ref="M4:M12" si="23">M3</f>
        <v>81.10560000000001</v>
      </c>
      <c r="N4">
        <f t="shared" ref="N4:N12" si="24">N3</f>
        <v>43.254400000000011</v>
      </c>
    </row>
    <row r="5">
      <c r="B5" s="4">
        <v>3</v>
      </c>
      <c r="C5" s="4">
        <v>50</v>
      </c>
      <c r="D5" s="4">
        <v>67</v>
      </c>
      <c r="E5" s="4">
        <v>72</v>
      </c>
      <c r="F5" s="4">
        <v>40</v>
      </c>
      <c r="G5" s="4">
        <v>78</v>
      </c>
      <c r="H5" s="34">
        <f t="shared" si="18"/>
        <v>5</v>
      </c>
      <c r="I5" s="35">
        <f t="shared" si="19"/>
        <v>61.399999999999999</v>
      </c>
      <c r="J5">
        <f t="shared" si="20"/>
        <v>40</v>
      </c>
      <c r="K5">
        <f t="shared" si="21"/>
        <v>78</v>
      </c>
      <c r="L5">
        <f t="shared" si="22"/>
        <v>38</v>
      </c>
      <c r="M5">
        <f t="shared" si="23"/>
        <v>81.10560000000001</v>
      </c>
      <c r="N5">
        <f t="shared" si="24"/>
        <v>43.254400000000011</v>
      </c>
    </row>
    <row r="6">
      <c r="B6" s="4">
        <v>4</v>
      </c>
      <c r="C6" s="4">
        <v>65</v>
      </c>
      <c r="D6" s="4">
        <v>78</v>
      </c>
      <c r="E6" s="4">
        <v>83</v>
      </c>
      <c r="F6" s="4">
        <v>89</v>
      </c>
      <c r="G6" s="4">
        <v>60</v>
      </c>
      <c r="H6" s="34">
        <f t="shared" si="18"/>
        <v>5</v>
      </c>
      <c r="I6" s="35">
        <f t="shared" si="19"/>
        <v>75</v>
      </c>
      <c r="J6">
        <f t="shared" si="20"/>
        <v>60</v>
      </c>
      <c r="K6">
        <f t="shared" si="21"/>
        <v>89</v>
      </c>
      <c r="L6">
        <f t="shared" si="22"/>
        <v>29</v>
      </c>
      <c r="M6">
        <f t="shared" si="23"/>
        <v>81.10560000000001</v>
      </c>
      <c r="N6">
        <f t="shared" si="24"/>
        <v>43.254400000000011</v>
      </c>
    </row>
    <row r="7">
      <c r="B7" s="4">
        <v>5</v>
      </c>
      <c r="C7" s="4">
        <v>67</v>
      </c>
      <c r="D7" s="4">
        <v>45</v>
      </c>
      <c r="E7" s="4">
        <v>38</v>
      </c>
      <c r="F7" s="4">
        <v>39</v>
      </c>
      <c r="G7" s="4">
        <v>70</v>
      </c>
      <c r="H7" s="34">
        <f t="shared" si="18"/>
        <v>5</v>
      </c>
      <c r="I7" s="35">
        <f t="shared" si="19"/>
        <v>51.799999999999997</v>
      </c>
      <c r="J7">
        <f t="shared" si="20"/>
        <v>38</v>
      </c>
      <c r="K7">
        <f t="shared" si="21"/>
        <v>70</v>
      </c>
      <c r="L7">
        <f t="shared" si="22"/>
        <v>32</v>
      </c>
      <c r="M7">
        <f t="shared" si="23"/>
        <v>81.10560000000001</v>
      </c>
      <c r="N7">
        <f t="shared" si="24"/>
        <v>43.254400000000011</v>
      </c>
    </row>
    <row r="8">
      <c r="B8" s="4">
        <v>6</v>
      </c>
      <c r="C8" s="4">
        <v>45</v>
      </c>
      <c r="D8" s="4">
        <v>29</v>
      </c>
      <c r="E8" s="4">
        <v>33</v>
      </c>
      <c r="F8" s="4">
        <v>67</v>
      </c>
      <c r="G8" s="4">
        <v>80</v>
      </c>
      <c r="H8" s="34">
        <f t="shared" si="18"/>
        <v>5</v>
      </c>
      <c r="I8" s="35">
        <f t="shared" si="19"/>
        <v>50.799999999999997</v>
      </c>
      <c r="J8">
        <f t="shared" si="20"/>
        <v>29</v>
      </c>
      <c r="K8">
        <f t="shared" si="21"/>
        <v>80</v>
      </c>
      <c r="L8">
        <f t="shared" si="22"/>
        <v>51</v>
      </c>
      <c r="M8">
        <f t="shared" si="23"/>
        <v>81.10560000000001</v>
      </c>
      <c r="N8">
        <f t="shared" si="24"/>
        <v>43.254400000000011</v>
      </c>
    </row>
    <row r="9">
      <c r="B9" s="4">
        <v>7</v>
      </c>
      <c r="C9" s="4">
        <v>78</v>
      </c>
      <c r="D9" s="4">
        <v>76</v>
      </c>
      <c r="E9" s="4">
        <v>40</v>
      </c>
      <c r="F9" s="4">
        <v>30</v>
      </c>
      <c r="G9" s="4">
        <v>80</v>
      </c>
      <c r="H9" s="34">
        <f t="shared" si="18"/>
        <v>5</v>
      </c>
      <c r="I9" s="35">
        <f t="shared" si="19"/>
        <v>60.799999999999997</v>
      </c>
      <c r="J9">
        <f t="shared" si="20"/>
        <v>30</v>
      </c>
      <c r="K9">
        <f t="shared" si="21"/>
        <v>80</v>
      </c>
      <c r="L9">
        <f t="shared" si="22"/>
        <v>50</v>
      </c>
      <c r="M9">
        <f t="shared" si="23"/>
        <v>81.10560000000001</v>
      </c>
      <c r="N9">
        <f t="shared" si="24"/>
        <v>43.254400000000011</v>
      </c>
    </row>
    <row r="10">
      <c r="B10" s="4">
        <v>8</v>
      </c>
      <c r="C10" s="4">
        <v>69</v>
      </c>
      <c r="D10" s="4">
        <v>80</v>
      </c>
      <c r="E10" s="4">
        <v>60</v>
      </c>
      <c r="F10" s="4">
        <v>65</v>
      </c>
      <c r="G10" s="4">
        <v>89</v>
      </c>
      <c r="H10" s="34">
        <f t="shared" si="18"/>
        <v>5</v>
      </c>
      <c r="I10" s="35">
        <f t="shared" si="19"/>
        <v>72.599999999999994</v>
      </c>
      <c r="J10">
        <f t="shared" si="20"/>
        <v>60</v>
      </c>
      <c r="K10">
        <f t="shared" si="21"/>
        <v>89</v>
      </c>
      <c r="L10">
        <f t="shared" si="22"/>
        <v>29</v>
      </c>
      <c r="M10">
        <f t="shared" si="23"/>
        <v>81.10560000000001</v>
      </c>
      <c r="N10">
        <f t="shared" si="24"/>
        <v>43.254400000000011</v>
      </c>
    </row>
    <row r="11">
      <c r="B11" s="4">
        <v>9</v>
      </c>
      <c r="C11" s="4">
        <v>48</v>
      </c>
      <c r="D11" s="4">
        <v>57</v>
      </c>
      <c r="E11" s="4">
        <v>65</v>
      </c>
      <c r="F11" s="4">
        <v>62</v>
      </c>
      <c r="G11" s="4">
        <v>79</v>
      </c>
      <c r="H11" s="34">
        <f t="shared" si="18"/>
        <v>5</v>
      </c>
      <c r="I11" s="35">
        <f t="shared" si="19"/>
        <v>62.200000000000003</v>
      </c>
      <c r="J11">
        <f t="shared" si="20"/>
        <v>48</v>
      </c>
      <c r="K11">
        <f t="shared" si="21"/>
        <v>79</v>
      </c>
      <c r="L11">
        <f t="shared" si="22"/>
        <v>31</v>
      </c>
      <c r="M11">
        <f t="shared" si="23"/>
        <v>81.10560000000001</v>
      </c>
      <c r="N11">
        <f t="shared" si="24"/>
        <v>43.254400000000011</v>
      </c>
    </row>
    <row r="12">
      <c r="B12" s="4">
        <v>10</v>
      </c>
      <c r="C12" s="4">
        <v>56</v>
      </c>
      <c r="D12" s="4">
        <v>76</v>
      </c>
      <c r="E12" s="4">
        <v>79</v>
      </c>
      <c r="F12" s="4">
        <v>85</v>
      </c>
      <c r="G12" s="4">
        <v>84</v>
      </c>
      <c r="H12" s="34">
        <f t="shared" si="18"/>
        <v>5</v>
      </c>
      <c r="I12" s="35">
        <f t="shared" si="19"/>
        <v>76</v>
      </c>
      <c r="J12">
        <f t="shared" si="20"/>
        <v>56</v>
      </c>
      <c r="K12">
        <f t="shared" si="21"/>
        <v>85</v>
      </c>
      <c r="L12">
        <f t="shared" si="22"/>
        <v>29</v>
      </c>
      <c r="M12">
        <f t="shared" si="23"/>
        <v>81.10560000000001</v>
      </c>
      <c r="N12">
        <f t="shared" si="24"/>
        <v>43.254400000000011</v>
      </c>
    </row>
    <row r="14">
      <c r="I14" s="35">
        <f>AVERAGE(I3:I12)</f>
        <v>62.180000000000007</v>
      </c>
      <c r="L14">
        <f>AVERAGE(L3:L12)</f>
        <v>32.799999999999997</v>
      </c>
    </row>
    <row r="16">
      <c r="K16" t="s">
        <v>128</v>
      </c>
      <c r="L16">
        <f>I14+0.577*L14</f>
        <v>81.10560000000001</v>
      </c>
    </row>
    <row r="17">
      <c r="K17" t="s">
        <v>129</v>
      </c>
      <c r="L17">
        <f>I14-0.577*L14</f>
        <v>43.254400000000011</v>
      </c>
    </row>
  </sheetData>
  <mergeCells count="1">
    <mergeCell ref="C1:G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Sujon Miah</dc:creator>
  <cp:revision>1</cp:revision>
  <dcterms:created xsi:type="dcterms:W3CDTF">2026-08-30T05:42:44Z</dcterms:created>
  <dcterms:modified xsi:type="dcterms:W3CDTF">2026-09-16T13:07:16Z</dcterms:modified>
</cp:coreProperties>
</file>