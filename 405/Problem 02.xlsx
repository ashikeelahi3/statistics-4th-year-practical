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622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32" i="1" l="1"/>
  <c r="H32" i="1"/>
  <c r="I32" i="1"/>
  <c r="J32" i="1"/>
  <c r="F32" i="1"/>
  <c r="G31" i="1"/>
  <c r="H31" i="1"/>
  <c r="I31" i="1"/>
  <c r="J31" i="1"/>
  <c r="F31" i="1"/>
  <c r="I33" i="1"/>
  <c r="I34" i="1" s="1"/>
  <c r="H33" i="1"/>
  <c r="H34" i="1" s="1"/>
  <c r="G33" i="1"/>
  <c r="G34" i="1" s="1"/>
  <c r="F33" i="1"/>
  <c r="F34" i="1" s="1"/>
  <c r="K22" i="1"/>
  <c r="K21" i="1"/>
  <c r="J21" i="1"/>
  <c r="G21" i="1"/>
  <c r="H21" i="1"/>
  <c r="I21" i="1"/>
  <c r="I23" i="1" s="1"/>
  <c r="I24" i="1" s="1"/>
  <c r="F21" i="1"/>
  <c r="J22" i="1"/>
  <c r="G22" i="1"/>
  <c r="H22" i="1"/>
  <c r="I22" i="1"/>
  <c r="F22" i="1"/>
  <c r="H23" i="1"/>
  <c r="H24" i="1" s="1"/>
  <c r="G23" i="1"/>
  <c r="G24" i="1" s="1"/>
  <c r="F23" i="1"/>
  <c r="F24" i="1" s="1"/>
  <c r="K13" i="1"/>
  <c r="K12" i="1"/>
  <c r="G14" i="1"/>
  <c r="H14" i="1"/>
  <c r="I14" i="1"/>
  <c r="F14" i="1"/>
  <c r="F15" i="1" l="1"/>
  <c r="G15" i="1"/>
  <c r="H15" i="1"/>
  <c r="I15" i="1"/>
</calcChain>
</file>

<file path=xl/sharedStrings.xml><?xml version="1.0" encoding="utf-8"?>
<sst xmlns="http://schemas.openxmlformats.org/spreadsheetml/2006/main" count="61" uniqueCount="25">
  <si>
    <t>So the following LP problem by simplex method:</t>
  </si>
  <si>
    <t>Max   z = 15X + 40Y</t>
  </si>
  <si>
    <t>Subject to,</t>
  </si>
  <si>
    <t xml:space="preserve">              2X+3Y ≤ 60</t>
  </si>
  <si>
    <t xml:space="preserve">               X+4Y ≤ 40</t>
  </si>
  <si>
    <t xml:space="preserve">                    X,Y ≥ 0</t>
  </si>
  <si>
    <t>BV</t>
  </si>
  <si>
    <t>Cj</t>
  </si>
  <si>
    <t>CB</t>
  </si>
  <si>
    <t>X</t>
  </si>
  <si>
    <t>Y</t>
  </si>
  <si>
    <t>s1</t>
  </si>
  <si>
    <t>s2</t>
  </si>
  <si>
    <t>XB</t>
  </si>
  <si>
    <t>z = 15X + 40Y + 0s1 + 0s2</t>
  </si>
  <si>
    <t>Simplex: 1st tableau</t>
  </si>
  <si>
    <t>zj</t>
  </si>
  <si>
    <t>Ratio</t>
  </si>
  <si>
    <t>2X+3Y+s1=60</t>
  </si>
  <si>
    <t>X+4Y+s2=40</t>
  </si>
  <si>
    <t>zj - cj</t>
  </si>
  <si>
    <t>Entering</t>
  </si>
  <si>
    <t>Leaving</t>
  </si>
  <si>
    <t>Simplex: 2nd tableau</t>
  </si>
  <si>
    <t>Simplex: 3rd 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</si>
</sst>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314739</xdr:colOff>
      <xdr:row>15</xdr:row>
      <xdr:rowOff>107674</xdr:rowOff>
    </xdr:from>
    <xdr:ext cx="2787943" cy="264560"/>
    <xdr:sp macro="" textlink="">
      <xdr:nvSpPr>
        <xdr:cNvPr id="2" name="TextBox 1"/>
        <xdr:cNvSpPr txBox="1"/>
      </xdr:nvSpPr>
      <xdr:spPr>
        <a:xfrm>
          <a:off x="9442174" y="2965174"/>
          <a:ext cx="2787943" cy="264560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Old value</a:t>
          </a:r>
          <a:r>
            <a:rPr lang="en-US" sz="1100" baseline="0">
              <a:solidFill>
                <a:schemeClr val="bg1"/>
              </a:solidFill>
            </a:rPr>
            <a:t> - new key row value * pivot column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5"/>
  <sheetViews>
    <sheetView tabSelected="1" topLeftCell="C13" zoomScale="115" zoomScaleNormal="115" workbookViewId="0">
      <selection activeCell="G36" sqref="G36"/>
    </sheetView>
  </sheetViews>
  <sheetFormatPr defaultRowHeight="15" x14ac:dyDescent="0.25"/>
  <cols>
    <col min="1" max="1" width="9.140625" style="1"/>
    <col min="2" max="2" width="45" style="1" bestFit="1" customWidth="1"/>
    <col min="3" max="16384" width="9.140625" style="1"/>
  </cols>
  <sheetData>
    <row r="2" spans="2:14" x14ac:dyDescent="0.25">
      <c r="B2" s="1" t="s">
        <v>0</v>
      </c>
    </row>
    <row r="3" spans="2:14" x14ac:dyDescent="0.25">
      <c r="B3" s="1" t="s">
        <v>1</v>
      </c>
    </row>
    <row r="4" spans="2:14" x14ac:dyDescent="0.25">
      <c r="B4" s="1" t="s">
        <v>2</v>
      </c>
    </row>
    <row r="5" spans="2:14" x14ac:dyDescent="0.25">
      <c r="B5" s="1" t="s">
        <v>3</v>
      </c>
    </row>
    <row r="6" spans="2:14" x14ac:dyDescent="0.25">
      <c r="B6" s="1" t="s">
        <v>4</v>
      </c>
    </row>
    <row r="7" spans="2:14" x14ac:dyDescent="0.25">
      <c r="B7" s="1" t="s">
        <v>5</v>
      </c>
    </row>
    <row r="9" spans="2:14" x14ac:dyDescent="0.25">
      <c r="D9" s="11" t="s">
        <v>15</v>
      </c>
      <c r="E9" s="11"/>
      <c r="F9" s="11"/>
      <c r="G9" s="11"/>
      <c r="H9" s="11"/>
      <c r="I9" s="11"/>
      <c r="J9" s="11"/>
      <c r="K9" s="11"/>
    </row>
    <row r="10" spans="2:14" x14ac:dyDescent="0.25">
      <c r="B10" s="1" t="s">
        <v>14</v>
      </c>
      <c r="D10" s="10" t="s">
        <v>6</v>
      </c>
      <c r="E10" s="8" t="s">
        <v>7</v>
      </c>
      <c r="F10" s="8">
        <v>15</v>
      </c>
      <c r="G10" s="12">
        <v>40</v>
      </c>
      <c r="H10" s="8">
        <v>0</v>
      </c>
      <c r="I10" s="8">
        <v>0</v>
      </c>
      <c r="J10" s="8"/>
      <c r="K10" s="8"/>
    </row>
    <row r="11" spans="2:14" x14ac:dyDescent="0.25">
      <c r="D11" s="10"/>
      <c r="E11" s="8" t="s">
        <v>8</v>
      </c>
      <c r="F11" s="8" t="s">
        <v>9</v>
      </c>
      <c r="G11" s="12" t="s">
        <v>10</v>
      </c>
      <c r="H11" s="8" t="s">
        <v>11</v>
      </c>
      <c r="I11" s="8" t="s">
        <v>12</v>
      </c>
      <c r="J11" s="8" t="s">
        <v>13</v>
      </c>
      <c r="K11" s="8" t="s">
        <v>17</v>
      </c>
      <c r="M11" s="3" t="s">
        <v>21</v>
      </c>
      <c r="N11" s="3" t="s">
        <v>10</v>
      </c>
    </row>
    <row r="12" spans="2:14" x14ac:dyDescent="0.25">
      <c r="B12" s="1" t="s">
        <v>18</v>
      </c>
      <c r="D12" s="8" t="s">
        <v>11</v>
      </c>
      <c r="E12" s="9">
        <v>0</v>
      </c>
      <c r="F12" s="9">
        <v>2</v>
      </c>
      <c r="G12" s="13">
        <v>3</v>
      </c>
      <c r="H12" s="9">
        <v>1</v>
      </c>
      <c r="I12" s="9">
        <v>0</v>
      </c>
      <c r="J12" s="9">
        <v>60</v>
      </c>
      <c r="K12" s="9">
        <f>J12/G12</f>
        <v>20</v>
      </c>
      <c r="M12" s="2" t="s">
        <v>22</v>
      </c>
      <c r="N12" s="4" t="s">
        <v>12</v>
      </c>
    </row>
    <row r="13" spans="2:14" x14ac:dyDescent="0.25">
      <c r="B13" s="1" t="s">
        <v>19</v>
      </c>
      <c r="D13" s="12" t="s">
        <v>12</v>
      </c>
      <c r="E13" s="13">
        <v>0</v>
      </c>
      <c r="F13" s="13">
        <v>1</v>
      </c>
      <c r="G13" s="13">
        <v>4</v>
      </c>
      <c r="H13" s="13">
        <v>0</v>
      </c>
      <c r="I13" s="13">
        <v>1</v>
      </c>
      <c r="J13" s="13">
        <v>40</v>
      </c>
      <c r="K13" s="13">
        <f>J13/G13</f>
        <v>10</v>
      </c>
    </row>
    <row r="14" spans="2:14" x14ac:dyDescent="0.25">
      <c r="D14" s="9"/>
      <c r="E14" s="8" t="s">
        <v>16</v>
      </c>
      <c r="F14" s="9">
        <f>SUMPRODUCT($E12:$E13, F12:F13)</f>
        <v>0</v>
      </c>
      <c r="G14" s="13">
        <f t="shared" ref="G14:I14" si="0">SUMPRODUCT($E12:$E13, G12:G13)</f>
        <v>0</v>
      </c>
      <c r="H14" s="9">
        <f t="shared" si="0"/>
        <v>0</v>
      </c>
      <c r="I14" s="9">
        <f t="shared" si="0"/>
        <v>0</v>
      </c>
      <c r="J14" s="9"/>
      <c r="K14" s="9"/>
    </row>
    <row r="15" spans="2:14" x14ac:dyDescent="0.25">
      <c r="D15" s="9"/>
      <c r="E15" s="8" t="s">
        <v>20</v>
      </c>
      <c r="F15" s="9">
        <f>F14-F10</f>
        <v>-15</v>
      </c>
      <c r="G15" s="13">
        <f t="shared" ref="G15:I15" si="1">G14-G10</f>
        <v>-40</v>
      </c>
      <c r="H15" s="9">
        <f t="shared" si="1"/>
        <v>0</v>
      </c>
      <c r="I15" s="9">
        <f t="shared" si="1"/>
        <v>0</v>
      </c>
      <c r="J15" s="9"/>
      <c r="K15" s="9"/>
    </row>
    <row r="18" spans="4:15" x14ac:dyDescent="0.25">
      <c r="D18" s="11" t="s">
        <v>23</v>
      </c>
      <c r="E18" s="11"/>
      <c r="F18" s="11"/>
      <c r="G18" s="11"/>
      <c r="H18" s="11"/>
      <c r="I18" s="11"/>
      <c r="J18" s="11"/>
      <c r="K18" s="11"/>
    </row>
    <row r="19" spans="4:15" x14ac:dyDescent="0.25">
      <c r="D19" s="10" t="s">
        <v>6</v>
      </c>
      <c r="E19" s="8" t="s">
        <v>7</v>
      </c>
      <c r="F19" s="12">
        <v>15</v>
      </c>
      <c r="G19" s="8">
        <v>40</v>
      </c>
      <c r="H19" s="8">
        <v>0</v>
      </c>
      <c r="I19" s="8">
        <v>0</v>
      </c>
      <c r="J19" s="8"/>
      <c r="K19" s="8"/>
      <c r="M19" s="7"/>
      <c r="N19" s="7"/>
      <c r="O19" s="7"/>
    </row>
    <row r="20" spans="4:15" x14ac:dyDescent="0.25">
      <c r="D20" s="10"/>
      <c r="E20" s="8" t="s">
        <v>8</v>
      </c>
      <c r="F20" s="12" t="s">
        <v>9</v>
      </c>
      <c r="G20" s="8" t="s">
        <v>10</v>
      </c>
      <c r="H20" s="8" t="s">
        <v>11</v>
      </c>
      <c r="I20" s="8" t="s">
        <v>12</v>
      </c>
      <c r="J20" s="8" t="s">
        <v>13</v>
      </c>
      <c r="K20" s="8" t="s">
        <v>17</v>
      </c>
      <c r="M20" s="5"/>
      <c r="N20" s="5"/>
      <c r="O20" s="7"/>
    </row>
    <row r="21" spans="4:15" x14ac:dyDescent="0.25">
      <c r="D21" s="12" t="s">
        <v>11</v>
      </c>
      <c r="E21" s="13">
        <v>0</v>
      </c>
      <c r="F21" s="13">
        <f>F12-F$22*$G12</f>
        <v>1.25</v>
      </c>
      <c r="G21" s="13">
        <f t="shared" ref="G21:I21" si="2">G12-G$22*$G12</f>
        <v>0</v>
      </c>
      <c r="H21" s="13">
        <f t="shared" si="2"/>
        <v>1</v>
      </c>
      <c r="I21" s="13">
        <f t="shared" si="2"/>
        <v>-0.75</v>
      </c>
      <c r="J21" s="13">
        <f>J12-J$22*$G12</f>
        <v>30</v>
      </c>
      <c r="K21" s="13">
        <f>J21/F21</f>
        <v>24</v>
      </c>
      <c r="M21" s="3" t="s">
        <v>21</v>
      </c>
      <c r="N21" s="3" t="s">
        <v>9</v>
      </c>
      <c r="O21" s="7"/>
    </row>
    <row r="22" spans="4:15" x14ac:dyDescent="0.25">
      <c r="D22" s="8" t="s">
        <v>10</v>
      </c>
      <c r="E22" s="9">
        <v>40</v>
      </c>
      <c r="F22" s="13">
        <f>F13/$G13</f>
        <v>0.25</v>
      </c>
      <c r="G22" s="9">
        <f t="shared" ref="G22:I22" si="3">G13/$G13</f>
        <v>1</v>
      </c>
      <c r="H22" s="9">
        <f t="shared" si="3"/>
        <v>0</v>
      </c>
      <c r="I22" s="9">
        <f t="shared" si="3"/>
        <v>0.25</v>
      </c>
      <c r="J22" s="9">
        <f>J13/$G13</f>
        <v>10</v>
      </c>
      <c r="K22" s="9">
        <f>J22/F22</f>
        <v>40</v>
      </c>
      <c r="M22" s="2" t="s">
        <v>22</v>
      </c>
      <c r="N22" s="4" t="s">
        <v>11</v>
      </c>
      <c r="O22" s="7"/>
    </row>
    <row r="23" spans="4:15" x14ac:dyDescent="0.25">
      <c r="D23" s="9"/>
      <c r="E23" s="8" t="s">
        <v>16</v>
      </c>
      <c r="F23" s="13">
        <f>SUMPRODUCT($E21:$E22, F21:F22)</f>
        <v>10</v>
      </c>
      <c r="G23" s="9">
        <f t="shared" ref="G23" si="4">SUMPRODUCT($E21:$E22, G21:G22)</f>
        <v>40</v>
      </c>
      <c r="H23" s="9">
        <f t="shared" ref="H23" si="5">SUMPRODUCT($E21:$E22, H21:H22)</f>
        <v>0</v>
      </c>
      <c r="I23" s="9">
        <f t="shared" ref="I23" si="6">SUMPRODUCT($E21:$E22, I21:I22)</f>
        <v>10</v>
      </c>
      <c r="J23" s="9"/>
      <c r="K23" s="9"/>
    </row>
    <row r="24" spans="4:15" x14ac:dyDescent="0.25">
      <c r="D24" s="9"/>
      <c r="E24" s="8" t="s">
        <v>20</v>
      </c>
      <c r="F24" s="13">
        <f>F23-F19</f>
        <v>-5</v>
      </c>
      <c r="G24" s="9">
        <f t="shared" ref="G24:I24" si="7">G23-G19</f>
        <v>0</v>
      </c>
      <c r="H24" s="9">
        <f t="shared" si="7"/>
        <v>0</v>
      </c>
      <c r="I24" s="9">
        <f t="shared" si="7"/>
        <v>10</v>
      </c>
      <c r="J24" s="9"/>
      <c r="K24" s="9"/>
    </row>
    <row r="25" spans="4:15" x14ac:dyDescent="0.25">
      <c r="D25" s="6"/>
      <c r="E25" s="6"/>
      <c r="F25" s="6"/>
      <c r="G25" s="6"/>
      <c r="H25" s="6"/>
      <c r="I25" s="6"/>
      <c r="J25" s="6"/>
      <c r="K25" s="6"/>
    </row>
    <row r="26" spans="4:15" x14ac:dyDescent="0.25">
      <c r="D26" s="6"/>
      <c r="E26" s="6"/>
      <c r="F26" s="6"/>
      <c r="G26" s="6"/>
      <c r="H26" s="6"/>
      <c r="I26" s="6"/>
      <c r="J26" s="6"/>
      <c r="K26" s="6"/>
    </row>
    <row r="27" spans="4:15" x14ac:dyDescent="0.25">
      <c r="D27" s="6"/>
      <c r="E27" s="6"/>
      <c r="F27" s="6"/>
      <c r="G27" s="6"/>
      <c r="H27" s="6"/>
      <c r="I27" s="6"/>
      <c r="J27" s="6"/>
      <c r="K27" s="6"/>
    </row>
    <row r="28" spans="4:15" x14ac:dyDescent="0.25">
      <c r="D28" s="14" t="s">
        <v>24</v>
      </c>
      <c r="E28" s="14"/>
      <c r="F28" s="14"/>
      <c r="G28" s="14"/>
      <c r="H28" s="14"/>
      <c r="I28" s="14"/>
      <c r="J28" s="14"/>
      <c r="K28" s="14"/>
    </row>
    <row r="29" spans="4:15" x14ac:dyDescent="0.25">
      <c r="D29" s="10" t="s">
        <v>6</v>
      </c>
      <c r="E29" s="8" t="s">
        <v>7</v>
      </c>
      <c r="F29" s="8">
        <v>15</v>
      </c>
      <c r="G29" s="8">
        <v>40</v>
      </c>
      <c r="H29" s="8">
        <v>0</v>
      </c>
      <c r="I29" s="8">
        <v>0</v>
      </c>
      <c r="J29" s="8"/>
      <c r="K29" s="8"/>
    </row>
    <row r="30" spans="4:15" x14ac:dyDescent="0.25">
      <c r="D30" s="10"/>
      <c r="E30" s="8" t="s">
        <v>8</v>
      </c>
      <c r="F30" s="8" t="s">
        <v>9</v>
      </c>
      <c r="G30" s="8" t="s">
        <v>10</v>
      </c>
      <c r="H30" s="8" t="s">
        <v>11</v>
      </c>
      <c r="I30" s="8" t="s">
        <v>12</v>
      </c>
      <c r="J30" s="8" t="s">
        <v>13</v>
      </c>
      <c r="K30" s="8" t="s">
        <v>17</v>
      </c>
      <c r="M30" s="1" t="s">
        <v>9</v>
      </c>
      <c r="N30" s="1">
        <v>15</v>
      </c>
    </row>
    <row r="31" spans="4:15" x14ac:dyDescent="0.25">
      <c r="D31" s="8" t="s">
        <v>9</v>
      </c>
      <c r="E31" s="9">
        <v>15</v>
      </c>
      <c r="F31" s="9">
        <f>F21/$F21</f>
        <v>1</v>
      </c>
      <c r="G31" s="9">
        <f t="shared" ref="G31:J31" si="8">G21/$F21</f>
        <v>0</v>
      </c>
      <c r="H31" s="9">
        <f t="shared" si="8"/>
        <v>0.8</v>
      </c>
      <c r="I31" s="9">
        <f t="shared" si="8"/>
        <v>-0.6</v>
      </c>
      <c r="J31" s="9">
        <f t="shared" si="8"/>
        <v>24</v>
      </c>
      <c r="K31" s="9"/>
      <c r="M31" s="1" t="s">
        <v>10</v>
      </c>
      <c r="N31" s="1">
        <v>40</v>
      </c>
    </row>
    <row r="32" spans="4:15" x14ac:dyDescent="0.25">
      <c r="D32" s="8" t="s">
        <v>10</v>
      </c>
      <c r="E32" s="9">
        <v>40</v>
      </c>
      <c r="F32" s="9">
        <f>F22-F$31*$F22</f>
        <v>0</v>
      </c>
      <c r="G32" s="9">
        <f t="shared" ref="G32:J32" si="9">G22-G$31*$F22</f>
        <v>1</v>
      </c>
      <c r="H32" s="9">
        <f t="shared" si="9"/>
        <v>-0.2</v>
      </c>
      <c r="I32" s="9">
        <f t="shared" si="9"/>
        <v>0.4</v>
      </c>
      <c r="J32" s="9">
        <f t="shared" si="9"/>
        <v>4</v>
      </c>
      <c r="K32" s="9"/>
    </row>
    <row r="33" spans="4:11" x14ac:dyDescent="0.25">
      <c r="D33" s="9"/>
      <c r="E33" s="8" t="s">
        <v>16</v>
      </c>
      <c r="F33" s="9">
        <f>SUMPRODUCT($E31:$E32, F31:F32)</f>
        <v>15</v>
      </c>
      <c r="G33" s="9">
        <f t="shared" ref="G33" si="10">SUMPRODUCT($E31:$E32, G31:G32)</f>
        <v>40</v>
      </c>
      <c r="H33" s="9">
        <f t="shared" ref="H33" si="11">SUMPRODUCT($E31:$E32, H31:H32)</f>
        <v>4</v>
      </c>
      <c r="I33" s="9">
        <f t="shared" ref="I33" si="12">SUMPRODUCT($E31:$E32, I31:I32)</f>
        <v>7</v>
      </c>
      <c r="J33" s="9"/>
      <c r="K33" s="9"/>
    </row>
    <row r="34" spans="4:11" x14ac:dyDescent="0.25">
      <c r="D34" s="9"/>
      <c r="E34" s="8" t="s">
        <v>20</v>
      </c>
      <c r="F34" s="9">
        <f>F33-F29</f>
        <v>0</v>
      </c>
      <c r="G34" s="9">
        <f t="shared" ref="G34:I34" si="13">G33-G29</f>
        <v>0</v>
      </c>
      <c r="H34" s="9">
        <f t="shared" si="13"/>
        <v>4</v>
      </c>
      <c r="I34" s="9">
        <f t="shared" si="13"/>
        <v>7</v>
      </c>
      <c r="J34" s="9"/>
      <c r="K34" s="9"/>
    </row>
    <row r="35" spans="4:11" x14ac:dyDescent="0.25">
      <c r="D35" s="6"/>
      <c r="E35" s="6"/>
      <c r="F35" s="6"/>
      <c r="G35" s="6"/>
      <c r="H35" s="6"/>
      <c r="I35" s="6"/>
      <c r="J35" s="6"/>
      <c r="K35" s="6"/>
    </row>
  </sheetData>
  <mergeCells count="6">
    <mergeCell ref="D29:D30"/>
    <mergeCell ref="D10:D11"/>
    <mergeCell ref="D9:K9"/>
    <mergeCell ref="D18:K18"/>
    <mergeCell ref="D19:D20"/>
    <mergeCell ref="D28:K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Dockur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for Docker</dc:creator>
  <cp:lastModifiedBy>Windows for Docker</cp:lastModifiedBy>
  <dcterms:created xsi:type="dcterms:W3CDTF">2026-09-16T07:13:20Z</dcterms:created>
  <dcterms:modified xsi:type="dcterms:W3CDTF">2026-09-16T09:13:28Z</dcterms:modified>
</cp:coreProperties>
</file>