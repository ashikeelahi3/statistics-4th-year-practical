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360" yWindow="15" windowWidth="19140" windowHeight="9720" activeTab="3"/>
  </bookViews>
  <sheets>
    <sheet name="Sheet1" sheetId="1" r:id="rId1"/>
    <sheet name="Answer Report 1" sheetId="4" r:id="rId2"/>
    <sheet name="Sensitivity Report 1" sheetId="5" r:id="rId3"/>
    <sheet name="Limits Report 1" sheetId="6" r:id="rId4"/>
    <sheet name="Sheet2" sheetId="2" r:id="rId5"/>
    <sheet name="Sheet3" sheetId="3" r:id="rId6"/>
  </sheets>
  <definedNames>
    <definedName name="solver_adj" localSheetId="4" hidden="1">Sheet2!$E$5:$G$5</definedName>
    <definedName name="solver_cvg" localSheetId="4" hidden="1">0.0001</definedName>
    <definedName name="solver_drv" localSheetId="4" hidden="1">1</definedName>
    <definedName name="solver_eng" localSheetId="4" hidden="1">2</definedName>
    <definedName name="solver_est" localSheetId="4" hidden="1">1</definedName>
    <definedName name="solver_itr" localSheetId="4" hidden="1">2147483647</definedName>
    <definedName name="solver_lhs1" localSheetId="4" hidden="1">Sheet2!$H$8:$H$10</definedName>
    <definedName name="solver_mip" localSheetId="4" hidden="1">2147483647</definedName>
    <definedName name="solver_mni" localSheetId="4" hidden="1">30</definedName>
    <definedName name="solver_mrt" localSheetId="4" hidden="1">0.075</definedName>
    <definedName name="solver_msl" localSheetId="4" hidden="1">2</definedName>
    <definedName name="solver_neg" localSheetId="4" hidden="1">1</definedName>
    <definedName name="solver_nod" localSheetId="4" hidden="1">2147483647</definedName>
    <definedName name="solver_num" localSheetId="4" hidden="1">1</definedName>
    <definedName name="solver_nwt" localSheetId="4" hidden="1">1</definedName>
    <definedName name="solver_opt" localSheetId="4" hidden="1">Sheet2!$H$5</definedName>
    <definedName name="solver_pre" localSheetId="4" hidden="1">0.000001</definedName>
    <definedName name="solver_rbv" localSheetId="4" hidden="1">1</definedName>
    <definedName name="solver_rel1" localSheetId="4" hidden="1">1</definedName>
    <definedName name="solver_rhs1" localSheetId="4" hidden="1">Sheet2!$J$8:$J$10</definedName>
    <definedName name="solver_rlx" localSheetId="4" hidden="1">2</definedName>
    <definedName name="solver_rsd" localSheetId="4" hidden="1">0</definedName>
    <definedName name="solver_scl" localSheetId="4" hidden="1">1</definedName>
    <definedName name="solver_sho" localSheetId="3" hidden="1">2</definedName>
    <definedName name="solver_sho" localSheetId="4" hidden="1">2</definedName>
    <definedName name="solver_ssz" localSheetId="4" hidden="1">100</definedName>
    <definedName name="solver_tim" localSheetId="4" hidden="1">2147483647</definedName>
    <definedName name="solver_tol" localSheetId="4" hidden="1">0.01</definedName>
    <definedName name="solver_typ" localSheetId="4" hidden="1">1</definedName>
    <definedName name="solver_val" localSheetId="4" hidden="1">0</definedName>
    <definedName name="solver_ver" localSheetId="4" hidden="1">3</definedName>
  </definedNames>
  <calcPr calcId="145621" calcMode="manual"/>
  <extLst>
    <ext xmlns:x15="http://schemas.microsoft.com/office/spreadsheetml/2010/11/main" uri="{D0CA8CA8-9F24-4464-BF8E-62219DCF47F9}"/>
  </extLst>
</workbook>
</file>

<file path=xl/calcChain.xml><?xml version="1.0" encoding="utf-8"?>
<calcChain xmlns="http://schemas.openxmlformats.org/spreadsheetml/2006/main">
  <c r="H9" i="2" l="1"/>
  <c r="H10" i="2"/>
  <c r="H8" i="2"/>
  <c r="H5" i="2"/>
  <c r="K37" i="1"/>
  <c r="J37" i="1"/>
  <c r="J38" i="1" s="1"/>
  <c r="I37" i="1"/>
  <c r="I38" i="1" s="1"/>
  <c r="H37" i="1"/>
  <c r="H38" i="1" s="1"/>
  <c r="G37" i="1"/>
  <c r="F37" i="1"/>
  <c r="F38" i="1" s="1"/>
  <c r="E37" i="1"/>
  <c r="E38" i="1" s="1"/>
  <c r="D37" i="1"/>
  <c r="D38" i="1" s="1"/>
  <c r="K36" i="1"/>
  <c r="J36" i="1"/>
  <c r="J46" i="1" s="1"/>
  <c r="I36" i="1"/>
  <c r="I46" i="1" s="1"/>
  <c r="H36" i="1"/>
  <c r="H46" i="1" s="1"/>
  <c r="G36" i="1"/>
  <c r="F36" i="1"/>
  <c r="F46" i="1" s="1"/>
  <c r="E36" i="1"/>
  <c r="E46" i="1" s="1"/>
  <c r="D36" i="1"/>
  <c r="D46" i="1" s="1"/>
  <c r="I30" i="1"/>
  <c r="F30" i="1"/>
  <c r="E30" i="1"/>
  <c r="I29" i="1"/>
  <c r="H29" i="1"/>
  <c r="H30" i="1" s="1"/>
  <c r="G29" i="1"/>
  <c r="G30" i="1" s="1"/>
  <c r="F29" i="1"/>
  <c r="E29" i="1"/>
  <c r="D29" i="1"/>
  <c r="D30" i="1" s="1"/>
  <c r="K28" i="1"/>
  <c r="K27" i="1"/>
  <c r="K26" i="1"/>
  <c r="H48" i="1" l="1"/>
  <c r="D47" i="1"/>
  <c r="D57" i="1" s="1"/>
  <c r="D56" i="1" s="1"/>
  <c r="H47" i="1"/>
  <c r="H49" i="1"/>
  <c r="H50" i="1" s="1"/>
  <c r="D48" i="1"/>
  <c r="E47" i="1"/>
  <c r="E57" i="1" s="1"/>
  <c r="E56" i="1" s="1"/>
  <c r="E59" i="1" s="1"/>
  <c r="E60" i="1" s="1"/>
  <c r="I47" i="1"/>
  <c r="E48" i="1"/>
  <c r="E58" i="1" s="1"/>
  <c r="I48" i="1"/>
  <c r="F48" i="1"/>
  <c r="F58" i="1" s="1"/>
  <c r="K38" i="1"/>
  <c r="J48" i="1"/>
  <c r="G39" i="1"/>
  <c r="G40" i="1" s="1"/>
  <c r="G47" i="1"/>
  <c r="G57" i="1" s="1"/>
  <c r="G38" i="1"/>
  <c r="G46" i="1"/>
  <c r="D39" i="1"/>
  <c r="D40" i="1" s="1"/>
  <c r="H39" i="1"/>
  <c r="H40" i="1" s="1"/>
  <c r="E39" i="1"/>
  <c r="E40" i="1" s="1"/>
  <c r="I39" i="1"/>
  <c r="I40" i="1" s="1"/>
  <c r="F47" i="1"/>
  <c r="F57" i="1" s="1"/>
  <c r="F56" i="1" s="1"/>
  <c r="F59" i="1" s="1"/>
  <c r="F60" i="1" s="1"/>
  <c r="J47" i="1"/>
  <c r="F39" i="1"/>
  <c r="F40" i="1" s="1"/>
  <c r="K47" i="1" l="1"/>
  <c r="J57" i="1"/>
  <c r="J56" i="1" s="1"/>
  <c r="I58" i="1"/>
  <c r="D58" i="1"/>
  <c r="D59" i="1" s="1"/>
  <c r="D60" i="1" s="1"/>
  <c r="G56" i="1"/>
  <c r="K48" i="1"/>
  <c r="F49" i="1"/>
  <c r="F50" i="1" s="1"/>
  <c r="I57" i="1"/>
  <c r="I56" i="1" s="1"/>
  <c r="E49" i="1"/>
  <c r="E50" i="1" s="1"/>
  <c r="H57" i="1"/>
  <c r="H56" i="1" s="1"/>
  <c r="D49" i="1"/>
  <c r="D50" i="1" s="1"/>
  <c r="G48" i="1"/>
  <c r="G58" i="1" s="1"/>
  <c r="I49" i="1"/>
  <c r="I50" i="1" s="1"/>
  <c r="H58" i="1"/>
  <c r="I59" i="1" l="1"/>
  <c r="I60" i="1" s="1"/>
  <c r="G49" i="1"/>
  <c r="G50" i="1" s="1"/>
  <c r="G59" i="1"/>
  <c r="G60" i="1" s="1"/>
  <c r="H59" i="1"/>
  <c r="H60" i="1" s="1"/>
  <c r="J58" i="1"/>
</calcChain>
</file>

<file path=xl/sharedStrings.xml><?xml version="1.0" encoding="utf-8"?>
<sst xmlns="http://schemas.openxmlformats.org/spreadsheetml/2006/main" count="207" uniqueCount="82">
  <si>
    <t>Simplex: 1st tableau</t>
  </si>
  <si>
    <t>BV</t>
  </si>
  <si>
    <t>Cj</t>
  </si>
  <si>
    <t>CB</t>
  </si>
  <si>
    <t>x1</t>
  </si>
  <si>
    <t>x2</t>
  </si>
  <si>
    <t>x3</t>
  </si>
  <si>
    <t>s1</t>
  </si>
  <si>
    <t>s2</t>
  </si>
  <si>
    <t>s3</t>
  </si>
  <si>
    <t>XB</t>
  </si>
  <si>
    <t>Ratio</t>
  </si>
  <si>
    <t>Entering</t>
  </si>
  <si>
    <t>Leaving</t>
  </si>
  <si>
    <t>zj</t>
  </si>
  <si>
    <t>zj - cj</t>
  </si>
  <si>
    <t>Simplex: 2nd tableau</t>
  </si>
  <si>
    <t>Simplex: 3rd tableau</t>
  </si>
  <si>
    <t>Simplex: 4th tableau</t>
  </si>
  <si>
    <t>X1</t>
  </si>
  <si>
    <t>X2</t>
  </si>
  <si>
    <t>X3</t>
  </si>
  <si>
    <t>C1</t>
  </si>
  <si>
    <t>C2</t>
  </si>
  <si>
    <t>C3</t>
  </si>
  <si>
    <t>&lt;=</t>
  </si>
  <si>
    <t>Microsoft Excel 14.0 Answer Report</t>
  </si>
  <si>
    <t>Worksheet: [Problem 03.xlsx]Sheet2</t>
  </si>
  <si>
    <t>Report Created: 9/16/2026 4:03:35 PM</t>
  </si>
  <si>
    <t>Result: Solver found a solution.  All Constraints and optimality conditions are satisfied.</t>
  </si>
  <si>
    <t>Solver Engine</t>
  </si>
  <si>
    <t>Engine: Simplex LP</t>
  </si>
  <si>
    <t>Solution Time: 0 Seconds.</t>
  </si>
  <si>
    <t>Iterations: 3 Subproblems: 0</t>
  </si>
  <si>
    <t>Solver Options</t>
  </si>
  <si>
    <t>Max Time Unlimited,  Iterations Unlimited, Precision 0.000001, Use Automatic Scaling</t>
  </si>
  <si>
    <t>Max Subproblems Unlimited, Max Integer Sols Unlimited, Integer Tolerance 1%, Assume NonNegative</t>
  </si>
  <si>
    <t>Objective Cell (Max)</t>
  </si>
  <si>
    <t>Cell</t>
  </si>
  <si>
    <t>Name</t>
  </si>
  <si>
    <t>Original Value</t>
  </si>
  <si>
    <t>Final Value</t>
  </si>
  <si>
    <t>Variable Cells</t>
  </si>
  <si>
    <t>Integer</t>
  </si>
  <si>
    <t>Constraints</t>
  </si>
  <si>
    <t>Cell Value</t>
  </si>
  <si>
    <t>Formula</t>
  </si>
  <si>
    <t>Status</t>
  </si>
  <si>
    <t>Slack</t>
  </si>
  <si>
    <t>$H$5</t>
  </si>
  <si>
    <t>$E$5</t>
  </si>
  <si>
    <t>Contin</t>
  </si>
  <si>
    <t>$F$5</t>
  </si>
  <si>
    <t>$G$5</t>
  </si>
  <si>
    <t>$H$8</t>
  </si>
  <si>
    <t>$H$8&lt;=$J$8</t>
  </si>
  <si>
    <t>Binding</t>
  </si>
  <si>
    <t>$H$9</t>
  </si>
  <si>
    <t>$H$9&lt;=$J$9</t>
  </si>
  <si>
    <t>$H$10</t>
  </si>
  <si>
    <t>$H$10&lt;=$J$10</t>
  </si>
  <si>
    <t>Not Binding</t>
  </si>
  <si>
    <t>Microsoft Excel 14.0 Sensitivity Report</t>
  </si>
  <si>
    <t>Final</t>
  </si>
  <si>
    <t>Value</t>
  </si>
  <si>
    <t>Reduced</t>
  </si>
  <si>
    <t>Cost</t>
  </si>
  <si>
    <t>Objective</t>
  </si>
  <si>
    <t>Coefficient</t>
  </si>
  <si>
    <t>Allowable</t>
  </si>
  <si>
    <t>Increase</t>
  </si>
  <si>
    <t>Decrease</t>
  </si>
  <si>
    <t>Shadow</t>
  </si>
  <si>
    <t>Price</t>
  </si>
  <si>
    <t>Constraint</t>
  </si>
  <si>
    <t>R.H. Side</t>
  </si>
  <si>
    <t>Microsoft Excel 14.0 Limits Report</t>
  </si>
  <si>
    <t>Variable</t>
  </si>
  <si>
    <t>Lower</t>
  </si>
  <si>
    <t>Limit</t>
  </si>
  <si>
    <t>Result</t>
  </si>
  <si>
    <t>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</si>
</sst>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2"/>
      <name val="Calibri"/>
      <family val="2"/>
      <scheme val="minor"/>
    </font>
    <font>
      <b/>
      <sz val="11"/>
      <color indexed="1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5"/>
        <bgColor indexed="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0" borderId="0" xfId="0" applyFont="1"/>
    <xf numFmtId="0" fontId="2" fillId="0" borderId="4" xfId="0" applyFont="1" applyFill="1" applyBorder="1" applyAlignment="1">
      <alignment horizontal="center" vertical="center"/>
    </xf>
    <xf numFmtId="0" fontId="0" fillId="3" borderId="0" xfId="0" applyFill="1"/>
    <xf numFmtId="0" fontId="0" fillId="0" borderId="4" xfId="0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2" fillId="0" borderId="0" xfId="0" applyFont="1"/>
    <xf numFmtId="0" fontId="0" fillId="0" borderId="9" xfId="0" applyFill="1" applyBorder="1" applyAlignment="1"/>
    <xf numFmtId="0" fontId="4" fillId="0" borderId="8" xfId="0" applyFont="1" applyFill="1" applyBorder="1" applyAlignment="1">
      <alignment horizontal="center"/>
    </xf>
    <xf numFmtId="0" fontId="0" fillId="0" borderId="10" xfId="0" applyFill="1" applyBorder="1" applyAlignment="1"/>
    <xf numFmtId="0" fontId="0" fillId="0" borderId="9" xfId="0" applyNumberFormat="1" applyFill="1" applyBorder="1" applyAlignment="1"/>
    <xf numFmtId="0" fontId="0" fillId="0" borderId="10" xfId="0" applyNumberFormat="1" applyFill="1" applyBorder="1" applyAlignment="1"/>
    <xf numFmtId="0" fontId="4" fillId="0" borderId="6" xfId="0" applyFont="1" applyFill="1" applyBorder="1" applyAlignment="1">
      <alignment horizontal="center"/>
    </xf>
    <xf numFmtId="0" fontId="4" fillId="0" borderId="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476250</xdr:colOff>
      <xdr:row>0</xdr:row>
      <xdr:rowOff>133350</xdr:rowOff>
    </xdr:from>
    <xdr:to>
      <xdr:col>10</xdr:col>
      <xdr:colOff>49530</xdr:colOff>
      <xdr:row>17</xdr:row>
      <xdr:rowOff>29209</xdr:rowOff>
    </xdr:to>
    <xdr:pic>
      <xdr:nvPicPr>
        <xdr:cNvPr id="2" name="Picture 1"/>
        <xdr:cNvPicPr/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476250" y="133350"/>
          <a:ext cx="5669280" cy="31343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3:N60"/>
  <sheetViews>
    <sheetView topLeftCell="A43" workbookViewId="0">
      <selection activeCell="J26" sqref="J26:J28"/>
    </sheetView>
  </sheetViews>
  <sheetFormatPr defaultRowHeight="15" x14ac:dyDescent="0.25"/>
  <sheetData>
    <row r="23" spans="2:14" x14ac:dyDescent="0.25">
      <c r="B23" s="9" t="s">
        <v>0</v>
      </c>
      <c r="C23" s="10"/>
      <c r="D23" s="10"/>
      <c r="E23" s="10"/>
      <c r="F23" s="10"/>
      <c r="G23" s="10"/>
      <c r="H23" s="10"/>
      <c r="I23" s="10"/>
      <c r="J23" s="10"/>
      <c r="K23" s="11"/>
      <c r="L23" s="1"/>
      <c r="M23" s="1"/>
      <c r="N23" s="1"/>
    </row>
    <row r="24" spans="2:14" x14ac:dyDescent="0.25">
      <c r="B24" s="2" t="s">
        <v>1</v>
      </c>
      <c r="C24" s="2" t="s">
        <v>2</v>
      </c>
      <c r="D24" s="2">
        <v>63</v>
      </c>
      <c r="E24" s="2">
        <v>95</v>
      </c>
      <c r="F24" s="3">
        <v>135</v>
      </c>
      <c r="G24" s="2">
        <v>0</v>
      </c>
      <c r="H24" s="2">
        <v>0</v>
      </c>
      <c r="I24" s="2">
        <v>0</v>
      </c>
      <c r="J24" s="2"/>
      <c r="K24" s="2"/>
      <c r="L24" s="1"/>
      <c r="M24" s="1"/>
      <c r="N24" s="1"/>
    </row>
    <row r="25" spans="2:14" x14ac:dyDescent="0.25">
      <c r="B25" s="2"/>
      <c r="C25" s="2" t="s">
        <v>3</v>
      </c>
      <c r="D25" s="2" t="s">
        <v>4</v>
      </c>
      <c r="E25" s="2" t="s">
        <v>5</v>
      </c>
      <c r="F25" s="3" t="s">
        <v>6</v>
      </c>
      <c r="G25" s="2" t="s">
        <v>7</v>
      </c>
      <c r="H25" s="2" t="s">
        <v>8</v>
      </c>
      <c r="I25" s="2" t="s">
        <v>9</v>
      </c>
      <c r="J25" s="2" t="s">
        <v>10</v>
      </c>
      <c r="K25" s="2" t="s">
        <v>11</v>
      </c>
      <c r="L25" s="1"/>
      <c r="M25" s="4" t="s">
        <v>12</v>
      </c>
      <c r="N25" s="5" t="s">
        <v>6</v>
      </c>
    </row>
    <row r="26" spans="2:14" x14ac:dyDescent="0.25">
      <c r="B26" s="2" t="s">
        <v>7</v>
      </c>
      <c r="C26" s="6">
        <v>0</v>
      </c>
      <c r="D26" s="6">
        <v>1</v>
      </c>
      <c r="E26" s="6">
        <v>1</v>
      </c>
      <c r="F26" s="7">
        <v>2</v>
      </c>
      <c r="G26" s="6">
        <v>1</v>
      </c>
      <c r="H26" s="6">
        <v>0</v>
      </c>
      <c r="I26" s="6">
        <v>0</v>
      </c>
      <c r="J26" s="6">
        <v>200</v>
      </c>
      <c r="K26" s="6">
        <f>J26/F26</f>
        <v>100</v>
      </c>
      <c r="L26" s="1"/>
      <c r="M26" s="4" t="s">
        <v>13</v>
      </c>
      <c r="N26" s="5" t="s">
        <v>8</v>
      </c>
    </row>
    <row r="27" spans="2:14" x14ac:dyDescent="0.25">
      <c r="B27" s="3" t="s">
        <v>8</v>
      </c>
      <c r="C27" s="7">
        <v>0</v>
      </c>
      <c r="D27" s="7">
        <v>1</v>
      </c>
      <c r="E27" s="7">
        <v>2</v>
      </c>
      <c r="F27" s="7">
        <v>4</v>
      </c>
      <c r="G27" s="7">
        <v>0</v>
      </c>
      <c r="H27" s="7">
        <v>1</v>
      </c>
      <c r="I27" s="7">
        <v>0</v>
      </c>
      <c r="J27" s="7">
        <v>320</v>
      </c>
      <c r="K27" s="7">
        <f>J27/F27</f>
        <v>80</v>
      </c>
      <c r="L27" s="1"/>
      <c r="M27" s="1"/>
      <c r="N27" s="1"/>
    </row>
    <row r="28" spans="2:14" x14ac:dyDescent="0.25">
      <c r="B28" s="2" t="s">
        <v>9</v>
      </c>
      <c r="C28" s="6">
        <v>0</v>
      </c>
      <c r="D28" s="6">
        <v>8</v>
      </c>
      <c r="E28" s="6">
        <v>12</v>
      </c>
      <c r="F28" s="7">
        <v>14</v>
      </c>
      <c r="G28" s="6">
        <v>0</v>
      </c>
      <c r="H28" s="6">
        <v>0</v>
      </c>
      <c r="I28" s="6">
        <v>1</v>
      </c>
      <c r="J28" s="6">
        <v>2400</v>
      </c>
      <c r="K28" s="6">
        <f>J28/F28</f>
        <v>171.42857142857142</v>
      </c>
      <c r="L28" s="1"/>
      <c r="M28" s="1"/>
      <c r="N28" s="1"/>
    </row>
    <row r="29" spans="2:14" x14ac:dyDescent="0.25">
      <c r="B29" s="2"/>
      <c r="C29" s="2" t="s">
        <v>14</v>
      </c>
      <c r="D29" s="6">
        <f t="shared" ref="D29:I29" si="0">SUMPRODUCT($C26:$C28,D26:D28)</f>
        <v>0</v>
      </c>
      <c r="E29" s="6">
        <f t="shared" si="0"/>
        <v>0</v>
      </c>
      <c r="F29" s="7">
        <f t="shared" si="0"/>
        <v>0</v>
      </c>
      <c r="G29" s="6">
        <f t="shared" si="0"/>
        <v>0</v>
      </c>
      <c r="H29" s="6">
        <f t="shared" si="0"/>
        <v>0</v>
      </c>
      <c r="I29" s="6">
        <f t="shared" si="0"/>
        <v>0</v>
      </c>
      <c r="J29" s="6"/>
      <c r="K29" s="6"/>
      <c r="L29" s="1"/>
      <c r="M29" s="1"/>
      <c r="N29" s="1"/>
    </row>
    <row r="30" spans="2:14" x14ac:dyDescent="0.25">
      <c r="B30" s="2"/>
      <c r="C30" s="2" t="s">
        <v>15</v>
      </c>
      <c r="D30" s="6">
        <f t="shared" ref="D30:I30" si="1">D29-D24</f>
        <v>-63</v>
      </c>
      <c r="E30" s="6">
        <f t="shared" si="1"/>
        <v>-95</v>
      </c>
      <c r="F30" s="7">
        <f t="shared" si="1"/>
        <v>-135</v>
      </c>
      <c r="G30" s="6">
        <f t="shared" si="1"/>
        <v>0</v>
      </c>
      <c r="H30" s="6">
        <f t="shared" si="1"/>
        <v>0</v>
      </c>
      <c r="I30" s="6">
        <f t="shared" si="1"/>
        <v>0</v>
      </c>
      <c r="J30" s="6"/>
      <c r="K30" s="6"/>
      <c r="L30" s="1"/>
      <c r="M30" s="1"/>
      <c r="N30" s="1"/>
    </row>
    <row r="33" spans="2:14" x14ac:dyDescent="0.25">
      <c r="B33" s="9" t="s">
        <v>16</v>
      </c>
      <c r="C33" s="10"/>
      <c r="D33" s="10"/>
      <c r="E33" s="10"/>
      <c r="F33" s="10"/>
      <c r="G33" s="10"/>
      <c r="H33" s="10"/>
      <c r="I33" s="10"/>
      <c r="J33" s="10"/>
      <c r="K33" s="11"/>
    </row>
    <row r="34" spans="2:14" x14ac:dyDescent="0.25">
      <c r="B34" s="2" t="s">
        <v>1</v>
      </c>
      <c r="C34" s="2" t="s">
        <v>2</v>
      </c>
      <c r="D34" s="3">
        <v>63</v>
      </c>
      <c r="E34" s="2">
        <v>95</v>
      </c>
      <c r="F34" s="2">
        <v>135</v>
      </c>
      <c r="G34" s="2">
        <v>0</v>
      </c>
      <c r="H34" s="2">
        <v>0</v>
      </c>
      <c r="I34" s="2">
        <v>0</v>
      </c>
      <c r="J34" s="2"/>
      <c r="K34" s="2"/>
    </row>
    <row r="35" spans="2:14" x14ac:dyDescent="0.25">
      <c r="B35" s="2"/>
      <c r="C35" s="2" t="s">
        <v>3</v>
      </c>
      <c r="D35" s="3" t="s">
        <v>4</v>
      </c>
      <c r="E35" s="2" t="s">
        <v>5</v>
      </c>
      <c r="F35" s="2" t="s">
        <v>6</v>
      </c>
      <c r="G35" s="2" t="s">
        <v>7</v>
      </c>
      <c r="H35" s="2" t="s">
        <v>8</v>
      </c>
      <c r="I35" s="2" t="s">
        <v>9</v>
      </c>
      <c r="J35" s="2" t="s">
        <v>10</v>
      </c>
      <c r="K35" s="2" t="s">
        <v>11</v>
      </c>
    </row>
    <row r="36" spans="2:14" x14ac:dyDescent="0.25">
      <c r="B36" s="3" t="s">
        <v>7</v>
      </c>
      <c r="C36" s="7">
        <v>0</v>
      </c>
      <c r="D36" s="7">
        <f t="shared" ref="D36:J36" si="2">D26-D$37*$F26</f>
        <v>0.5</v>
      </c>
      <c r="E36" s="7">
        <f t="shared" si="2"/>
        <v>0</v>
      </c>
      <c r="F36" s="7">
        <f t="shared" si="2"/>
        <v>0</v>
      </c>
      <c r="G36" s="7">
        <f t="shared" si="2"/>
        <v>1</v>
      </c>
      <c r="H36" s="7">
        <f t="shared" si="2"/>
        <v>-0.5</v>
      </c>
      <c r="I36" s="7">
        <f t="shared" si="2"/>
        <v>0</v>
      </c>
      <c r="J36" s="7">
        <f t="shared" si="2"/>
        <v>40</v>
      </c>
      <c r="K36" s="7">
        <f>J36/D36</f>
        <v>80</v>
      </c>
      <c r="M36" s="4" t="s">
        <v>12</v>
      </c>
      <c r="N36" s="5" t="s">
        <v>4</v>
      </c>
    </row>
    <row r="37" spans="2:14" x14ac:dyDescent="0.25">
      <c r="B37" s="2" t="s">
        <v>6</v>
      </c>
      <c r="C37" s="6">
        <v>135</v>
      </c>
      <c r="D37" s="7">
        <f t="shared" ref="D37:J37" si="3">D27/$F27</f>
        <v>0.25</v>
      </c>
      <c r="E37" s="6">
        <f t="shared" si="3"/>
        <v>0.5</v>
      </c>
      <c r="F37" s="6">
        <f t="shared" si="3"/>
        <v>1</v>
      </c>
      <c r="G37" s="6">
        <f t="shared" si="3"/>
        <v>0</v>
      </c>
      <c r="H37" s="6">
        <f t="shared" si="3"/>
        <v>0.25</v>
      </c>
      <c r="I37" s="6">
        <f t="shared" si="3"/>
        <v>0</v>
      </c>
      <c r="J37" s="6">
        <f t="shared" si="3"/>
        <v>80</v>
      </c>
      <c r="K37" s="6">
        <f>J37/D37</f>
        <v>320</v>
      </c>
      <c r="M37" s="4" t="s">
        <v>13</v>
      </c>
      <c r="N37" s="5" t="s">
        <v>7</v>
      </c>
    </row>
    <row r="38" spans="2:14" x14ac:dyDescent="0.25">
      <c r="B38" s="2" t="s">
        <v>9</v>
      </c>
      <c r="C38" s="6">
        <v>0</v>
      </c>
      <c r="D38" s="7">
        <f t="shared" ref="D38:J38" si="4">D28-D$37*$F28</f>
        <v>4.5</v>
      </c>
      <c r="E38" s="6">
        <f t="shared" si="4"/>
        <v>5</v>
      </c>
      <c r="F38" s="6">
        <f t="shared" si="4"/>
        <v>0</v>
      </c>
      <c r="G38" s="6">
        <f t="shared" si="4"/>
        <v>0</v>
      </c>
      <c r="H38" s="6">
        <f t="shared" si="4"/>
        <v>-3.5</v>
      </c>
      <c r="I38" s="6">
        <f t="shared" si="4"/>
        <v>1</v>
      </c>
      <c r="J38" s="6">
        <f t="shared" si="4"/>
        <v>1280</v>
      </c>
      <c r="K38" s="6">
        <f>J38/D38</f>
        <v>284.44444444444446</v>
      </c>
    </row>
    <row r="39" spans="2:14" x14ac:dyDescent="0.25">
      <c r="B39" s="2"/>
      <c r="C39" s="2" t="s">
        <v>14</v>
      </c>
      <c r="D39" s="7">
        <f t="shared" ref="D39:I39" si="5">SUMPRODUCT($C36:$C38,D36:D38)</f>
        <v>33.75</v>
      </c>
      <c r="E39" s="6">
        <f t="shared" si="5"/>
        <v>67.5</v>
      </c>
      <c r="F39" s="6">
        <f t="shared" si="5"/>
        <v>135</v>
      </c>
      <c r="G39" s="6">
        <f t="shared" si="5"/>
        <v>0</v>
      </c>
      <c r="H39" s="6">
        <f t="shared" si="5"/>
        <v>33.75</v>
      </c>
      <c r="I39" s="6">
        <f t="shared" si="5"/>
        <v>0</v>
      </c>
      <c r="J39" s="6"/>
      <c r="K39" s="6"/>
    </row>
    <row r="40" spans="2:14" x14ac:dyDescent="0.25">
      <c r="B40" s="2"/>
      <c r="C40" s="2" t="s">
        <v>15</v>
      </c>
      <c r="D40" s="7">
        <f t="shared" ref="D40:I40" si="6">D39-D34</f>
        <v>-29.25</v>
      </c>
      <c r="E40" s="6">
        <f t="shared" si="6"/>
        <v>-27.5</v>
      </c>
      <c r="F40" s="6">
        <f t="shared" si="6"/>
        <v>0</v>
      </c>
      <c r="G40" s="6">
        <f t="shared" si="6"/>
        <v>0</v>
      </c>
      <c r="H40" s="6">
        <f t="shared" si="6"/>
        <v>33.75</v>
      </c>
      <c r="I40" s="6">
        <f t="shared" si="6"/>
        <v>0</v>
      </c>
      <c r="J40" s="6"/>
      <c r="K40" s="6"/>
    </row>
    <row r="43" spans="2:14" x14ac:dyDescent="0.25">
      <c r="B43" s="9" t="s">
        <v>17</v>
      </c>
      <c r="C43" s="10"/>
      <c r="D43" s="10"/>
      <c r="E43" s="10"/>
      <c r="F43" s="10"/>
      <c r="G43" s="10"/>
      <c r="H43" s="10"/>
      <c r="I43" s="10"/>
      <c r="J43" s="10"/>
      <c r="K43" s="11"/>
    </row>
    <row r="44" spans="2:14" x14ac:dyDescent="0.25">
      <c r="B44" s="2" t="s">
        <v>1</v>
      </c>
      <c r="C44" s="2" t="s">
        <v>2</v>
      </c>
      <c r="D44" s="2">
        <v>63</v>
      </c>
      <c r="E44" s="3">
        <v>95</v>
      </c>
      <c r="F44" s="2">
        <v>135</v>
      </c>
      <c r="G44" s="2">
        <v>0</v>
      </c>
      <c r="H44" s="2">
        <v>0</v>
      </c>
      <c r="I44" s="2">
        <v>0</v>
      </c>
      <c r="J44" s="2"/>
      <c r="K44" s="2"/>
    </row>
    <row r="45" spans="2:14" x14ac:dyDescent="0.25">
      <c r="B45" s="2"/>
      <c r="C45" s="2" t="s">
        <v>3</v>
      </c>
      <c r="D45" s="2" t="s">
        <v>4</v>
      </c>
      <c r="E45" s="3" t="s">
        <v>5</v>
      </c>
      <c r="F45" s="2" t="s">
        <v>6</v>
      </c>
      <c r="G45" s="2" t="s">
        <v>7</v>
      </c>
      <c r="H45" s="2" t="s">
        <v>8</v>
      </c>
      <c r="I45" s="2" t="s">
        <v>9</v>
      </c>
      <c r="J45" s="2" t="s">
        <v>10</v>
      </c>
      <c r="K45" s="2" t="s">
        <v>11</v>
      </c>
    </row>
    <row r="46" spans="2:14" x14ac:dyDescent="0.25">
      <c r="B46" s="2" t="s">
        <v>4</v>
      </c>
      <c r="C46" s="6">
        <v>63</v>
      </c>
      <c r="D46" s="6">
        <f t="shared" ref="D46:J46" si="7">D36/$D36</f>
        <v>1</v>
      </c>
      <c r="E46" s="7">
        <f t="shared" si="7"/>
        <v>0</v>
      </c>
      <c r="F46" s="6">
        <f t="shared" si="7"/>
        <v>0</v>
      </c>
      <c r="G46" s="6">
        <f t="shared" si="7"/>
        <v>2</v>
      </c>
      <c r="H46" s="6">
        <f t="shared" si="7"/>
        <v>-1</v>
      </c>
      <c r="I46" s="6">
        <f t="shared" si="7"/>
        <v>0</v>
      </c>
      <c r="J46" s="6">
        <f t="shared" si="7"/>
        <v>80</v>
      </c>
      <c r="K46" s="6"/>
      <c r="M46" s="4" t="s">
        <v>12</v>
      </c>
      <c r="N46" s="5" t="s">
        <v>5</v>
      </c>
    </row>
    <row r="47" spans="2:14" x14ac:dyDescent="0.25">
      <c r="B47" s="3" t="s">
        <v>6</v>
      </c>
      <c r="C47" s="7">
        <v>135</v>
      </c>
      <c r="D47" s="7">
        <f t="shared" ref="D47:J48" si="8">D37-D$46*$D37</f>
        <v>0</v>
      </c>
      <c r="E47" s="7">
        <f t="shared" si="8"/>
        <v>0.5</v>
      </c>
      <c r="F47" s="7">
        <f t="shared" si="8"/>
        <v>1</v>
      </c>
      <c r="G47" s="7">
        <f t="shared" si="8"/>
        <v>-0.5</v>
      </c>
      <c r="H47" s="7">
        <f t="shared" si="8"/>
        <v>0.5</v>
      </c>
      <c r="I47" s="7">
        <f t="shared" si="8"/>
        <v>0</v>
      </c>
      <c r="J47" s="7">
        <f t="shared" si="8"/>
        <v>60</v>
      </c>
      <c r="K47" s="7">
        <f>J47/E47</f>
        <v>120</v>
      </c>
      <c r="M47" s="4" t="s">
        <v>13</v>
      </c>
      <c r="N47" s="5" t="s">
        <v>6</v>
      </c>
    </row>
    <row r="48" spans="2:14" x14ac:dyDescent="0.25">
      <c r="B48" s="2" t="s">
        <v>9</v>
      </c>
      <c r="C48" s="6">
        <v>0</v>
      </c>
      <c r="D48" s="6">
        <f t="shared" si="8"/>
        <v>0</v>
      </c>
      <c r="E48" s="7">
        <f t="shared" si="8"/>
        <v>5</v>
      </c>
      <c r="F48" s="6">
        <f t="shared" si="8"/>
        <v>0</v>
      </c>
      <c r="G48" s="6">
        <f t="shared" si="8"/>
        <v>-9</v>
      </c>
      <c r="H48" s="6">
        <f t="shared" si="8"/>
        <v>1</v>
      </c>
      <c r="I48" s="6">
        <f t="shared" si="8"/>
        <v>1</v>
      </c>
      <c r="J48" s="6">
        <f t="shared" si="8"/>
        <v>920</v>
      </c>
      <c r="K48" s="6">
        <f>J48/E48</f>
        <v>184</v>
      </c>
    </row>
    <row r="49" spans="2:11" x14ac:dyDescent="0.25">
      <c r="B49" s="2"/>
      <c r="C49" s="2" t="s">
        <v>14</v>
      </c>
      <c r="D49" s="6">
        <f t="shared" ref="D49:I49" si="9">SUMPRODUCT($C46:$C48,D46:D48)</f>
        <v>63</v>
      </c>
      <c r="E49" s="7">
        <f t="shared" si="9"/>
        <v>67.5</v>
      </c>
      <c r="F49" s="6">
        <f t="shared" si="9"/>
        <v>135</v>
      </c>
      <c r="G49" s="6">
        <f t="shared" si="9"/>
        <v>58.5</v>
      </c>
      <c r="H49" s="6">
        <f t="shared" si="9"/>
        <v>4.5</v>
      </c>
      <c r="I49" s="6">
        <f t="shared" si="9"/>
        <v>0</v>
      </c>
      <c r="J49" s="6"/>
      <c r="K49" s="6"/>
    </row>
    <row r="50" spans="2:11" x14ac:dyDescent="0.25">
      <c r="B50" s="2"/>
      <c r="C50" s="2" t="s">
        <v>15</v>
      </c>
      <c r="D50" s="6">
        <f t="shared" ref="D50:I50" si="10">D49-D44</f>
        <v>0</v>
      </c>
      <c r="E50" s="7">
        <f t="shared" si="10"/>
        <v>-27.5</v>
      </c>
      <c r="F50" s="6">
        <f t="shared" si="10"/>
        <v>0</v>
      </c>
      <c r="G50" s="6">
        <f t="shared" si="10"/>
        <v>58.5</v>
      </c>
      <c r="H50" s="6">
        <f t="shared" si="10"/>
        <v>4.5</v>
      </c>
      <c r="I50" s="6">
        <f t="shared" si="10"/>
        <v>0</v>
      </c>
      <c r="J50" s="6"/>
      <c r="K50" s="6"/>
    </row>
    <row r="53" spans="2:11" x14ac:dyDescent="0.25">
      <c r="B53" s="9" t="s">
        <v>18</v>
      </c>
      <c r="C53" s="10"/>
      <c r="D53" s="10"/>
      <c r="E53" s="10"/>
      <c r="F53" s="10"/>
      <c r="G53" s="10"/>
      <c r="H53" s="10"/>
      <c r="I53" s="10"/>
      <c r="J53" s="10"/>
      <c r="K53" s="11"/>
    </row>
    <row r="54" spans="2:11" x14ac:dyDescent="0.25">
      <c r="B54" s="2" t="s">
        <v>1</v>
      </c>
      <c r="C54" s="2" t="s">
        <v>2</v>
      </c>
      <c r="D54" s="2">
        <v>63</v>
      </c>
      <c r="E54" s="2">
        <v>95</v>
      </c>
      <c r="F54" s="2">
        <v>135</v>
      </c>
      <c r="G54" s="2">
        <v>0</v>
      </c>
      <c r="H54" s="2">
        <v>0</v>
      </c>
      <c r="I54" s="2">
        <v>0</v>
      </c>
      <c r="J54" s="2"/>
      <c r="K54" s="2"/>
    </row>
    <row r="55" spans="2:11" x14ac:dyDescent="0.25">
      <c r="B55" s="2"/>
      <c r="C55" s="2" t="s">
        <v>3</v>
      </c>
      <c r="D55" s="2" t="s">
        <v>4</v>
      </c>
      <c r="E55" s="2" t="s">
        <v>5</v>
      </c>
      <c r="F55" s="2" t="s">
        <v>6</v>
      </c>
      <c r="G55" s="2" t="s">
        <v>7</v>
      </c>
      <c r="H55" s="2" t="s">
        <v>8</v>
      </c>
      <c r="I55" s="2" t="s">
        <v>9</v>
      </c>
      <c r="J55" s="2" t="s">
        <v>10</v>
      </c>
      <c r="K55" s="2" t="s">
        <v>11</v>
      </c>
    </row>
    <row r="56" spans="2:11" x14ac:dyDescent="0.25">
      <c r="B56" s="2" t="s">
        <v>4</v>
      </c>
      <c r="C56" s="6">
        <v>63</v>
      </c>
      <c r="D56" s="6">
        <f t="shared" ref="D56:J56" si="11">D46-D$57*$E46</f>
        <v>1</v>
      </c>
      <c r="E56" s="6">
        <f t="shared" si="11"/>
        <v>0</v>
      </c>
      <c r="F56" s="6">
        <f t="shared" si="11"/>
        <v>0</v>
      </c>
      <c r="G56" s="6">
        <f t="shared" si="11"/>
        <v>2</v>
      </c>
      <c r="H56" s="6">
        <f t="shared" si="11"/>
        <v>-1</v>
      </c>
      <c r="I56" s="6">
        <f t="shared" si="11"/>
        <v>0</v>
      </c>
      <c r="J56" s="8">
        <f t="shared" si="11"/>
        <v>80</v>
      </c>
      <c r="K56" s="6"/>
    </row>
    <row r="57" spans="2:11" x14ac:dyDescent="0.25">
      <c r="B57" s="2" t="s">
        <v>5</v>
      </c>
      <c r="C57" s="6">
        <v>95</v>
      </c>
      <c r="D57" s="6">
        <f t="shared" ref="D57:J57" si="12">D47/$E47</f>
        <v>0</v>
      </c>
      <c r="E57" s="6">
        <f t="shared" si="12"/>
        <v>1</v>
      </c>
      <c r="F57" s="6">
        <f t="shared" si="12"/>
        <v>2</v>
      </c>
      <c r="G57" s="6">
        <f t="shared" si="12"/>
        <v>-1</v>
      </c>
      <c r="H57" s="6">
        <f t="shared" si="12"/>
        <v>1</v>
      </c>
      <c r="I57" s="6">
        <f t="shared" si="12"/>
        <v>0</v>
      </c>
      <c r="J57" s="8">
        <f t="shared" si="12"/>
        <v>120</v>
      </c>
      <c r="K57" s="6"/>
    </row>
    <row r="58" spans="2:11" x14ac:dyDescent="0.25">
      <c r="B58" s="2" t="s">
        <v>9</v>
      </c>
      <c r="C58" s="6">
        <v>0</v>
      </c>
      <c r="D58" s="6">
        <f t="shared" ref="D58:J58" si="13">D48-D$57*$E48</f>
        <v>0</v>
      </c>
      <c r="E58" s="6">
        <f t="shared" si="13"/>
        <v>0</v>
      </c>
      <c r="F58" s="6">
        <f t="shared" si="13"/>
        <v>-10</v>
      </c>
      <c r="G58" s="6">
        <f t="shared" si="13"/>
        <v>-4</v>
      </c>
      <c r="H58" s="6">
        <f t="shared" si="13"/>
        <v>-4</v>
      </c>
      <c r="I58" s="6">
        <f t="shared" si="13"/>
        <v>1</v>
      </c>
      <c r="J58" s="6">
        <f t="shared" si="13"/>
        <v>320</v>
      </c>
      <c r="K58" s="6"/>
    </row>
    <row r="59" spans="2:11" x14ac:dyDescent="0.25">
      <c r="B59" s="2"/>
      <c r="C59" s="2" t="s">
        <v>14</v>
      </c>
      <c r="D59" s="6">
        <f t="shared" ref="D59:I59" si="14">SUMPRODUCT($C56:$C58,D56:D58)</f>
        <v>63</v>
      </c>
      <c r="E59" s="6">
        <f t="shared" si="14"/>
        <v>95</v>
      </c>
      <c r="F59" s="6">
        <f t="shared" si="14"/>
        <v>190</v>
      </c>
      <c r="G59" s="6">
        <f t="shared" si="14"/>
        <v>31</v>
      </c>
      <c r="H59" s="6">
        <f t="shared" si="14"/>
        <v>32</v>
      </c>
      <c r="I59" s="6">
        <f t="shared" si="14"/>
        <v>0</v>
      </c>
      <c r="J59" s="6"/>
      <c r="K59" s="6"/>
    </row>
    <row r="60" spans="2:11" x14ac:dyDescent="0.25">
      <c r="B60" s="2"/>
      <c r="C60" s="2" t="s">
        <v>15</v>
      </c>
      <c r="D60" s="6">
        <f t="shared" ref="D60:I60" si="15">D59-D54</f>
        <v>0</v>
      </c>
      <c r="E60" s="6">
        <f t="shared" si="15"/>
        <v>0</v>
      </c>
      <c r="F60" s="6">
        <f t="shared" si="15"/>
        <v>55</v>
      </c>
      <c r="G60" s="6">
        <f t="shared" si="15"/>
        <v>31</v>
      </c>
      <c r="H60" s="6">
        <f t="shared" si="15"/>
        <v>32</v>
      </c>
      <c r="I60" s="6">
        <f t="shared" si="15"/>
        <v>0</v>
      </c>
      <c r="J60" s="6"/>
      <c r="K60" s="6"/>
    </row>
  </sheetData>
  <mergeCells count="4">
    <mergeCell ref="B23:K23"/>
    <mergeCell ref="B33:K33"/>
    <mergeCell ref="B43:K43"/>
    <mergeCell ref="B53:K53"/>
  </mergeCells>
  <pageMargins left="0.7" right="0.7" top="0.75" bottom="0.75" header="0.3" footer="0.3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showGridLines="0" topLeftCell="A19" workbookViewId="0">
      <selection activeCell="I25" sqref="I25"/>
    </sheetView>
  </sheetViews>
  <sheetFormatPr defaultRowHeight="15" x14ac:dyDescent="0.25"/>
  <cols>
    <col min="1" max="1" width="2.28515625" customWidth="1"/>
    <col min="2" max="3" width="6.28515625" customWidth="1"/>
    <col min="4" max="4" width="13.7109375" bestFit="1" customWidth="1"/>
    <col min="5" max="5" width="13.140625" bestFit="1" customWidth="1"/>
    <col min="6" max="6" width="11.42578125" customWidth="1"/>
    <col min="7" max="7" width="5.42578125" customWidth="1"/>
  </cols>
  <sheetData>
    <row r="1" spans="1:5" x14ac:dyDescent="0.25">
      <c r="A1" s="17" t="s">
        <v>26</v>
      </c>
    </row>
    <row r="2" spans="1:5" x14ac:dyDescent="0.25">
      <c r="A2" s="17" t="s">
        <v>27</v>
      </c>
    </row>
    <row r="3" spans="1:5" x14ac:dyDescent="0.25">
      <c r="A3" s="17" t="s">
        <v>28</v>
      </c>
    </row>
    <row r="4" spans="1:5" x14ac:dyDescent="0.25">
      <c r="A4" s="17" t="s">
        <v>29</v>
      </c>
    </row>
    <row r="5" spans="1:5" x14ac:dyDescent="0.25">
      <c r="A5" s="17" t="s">
        <v>30</v>
      </c>
    </row>
    <row r="6" spans="1:5" x14ac:dyDescent="0.25">
      <c r="A6" s="17"/>
      <c r="B6" t="s">
        <v>31</v>
      </c>
    </row>
    <row r="7" spans="1:5" x14ac:dyDescent="0.25">
      <c r="A7" s="17"/>
      <c r="B7" t="s">
        <v>32</v>
      </c>
    </row>
    <row r="8" spans="1:5" x14ac:dyDescent="0.25">
      <c r="A8" s="17"/>
      <c r="B8" t="s">
        <v>33</v>
      </c>
    </row>
    <row r="9" spans="1:5" x14ac:dyDescent="0.25">
      <c r="A9" s="17" t="s">
        <v>34</v>
      </c>
    </row>
    <row r="10" spans="1:5" x14ac:dyDescent="0.25">
      <c r="B10" t="s">
        <v>35</v>
      </c>
    </row>
    <row r="11" spans="1:5" x14ac:dyDescent="0.25">
      <c r="B11" t="s">
        <v>36</v>
      </c>
    </row>
    <row r="14" spans="1:5" ht="15.75" thickBot="1" x14ac:dyDescent="0.3">
      <c r="A14" t="s">
        <v>37</v>
      </c>
    </row>
    <row r="15" spans="1:5" ht="15.75" thickBot="1" x14ac:dyDescent="0.3">
      <c r="B15" s="19" t="s">
        <v>38</v>
      </c>
      <c r="C15" s="19" t="s">
        <v>39</v>
      </c>
      <c r="D15" s="19" t="s">
        <v>40</v>
      </c>
      <c r="E15" s="19" t="s">
        <v>41</v>
      </c>
    </row>
    <row r="16" spans="1:5" ht="15.75" thickBot="1" x14ac:dyDescent="0.3">
      <c r="B16" s="18" t="s">
        <v>49</v>
      </c>
      <c r="C16" s="18"/>
      <c r="D16" s="21">
        <v>0</v>
      </c>
      <c r="E16" s="21">
        <v>16440</v>
      </c>
    </row>
    <row r="19" spans="1:7" ht="15.75" thickBot="1" x14ac:dyDescent="0.3">
      <c r="A19" t="s">
        <v>42</v>
      </c>
    </row>
    <row r="20" spans="1:7" ht="15.75" thickBot="1" x14ac:dyDescent="0.3">
      <c r="B20" s="19" t="s">
        <v>38</v>
      </c>
      <c r="C20" s="19" t="s">
        <v>39</v>
      </c>
      <c r="D20" s="19" t="s">
        <v>40</v>
      </c>
      <c r="E20" s="19" t="s">
        <v>41</v>
      </c>
      <c r="F20" s="19" t="s">
        <v>43</v>
      </c>
    </row>
    <row r="21" spans="1:7" x14ac:dyDescent="0.25">
      <c r="B21" s="20" t="s">
        <v>50</v>
      </c>
      <c r="C21" s="20" t="s">
        <v>19</v>
      </c>
      <c r="D21" s="22">
        <v>0</v>
      </c>
      <c r="E21" s="22">
        <v>80</v>
      </c>
      <c r="F21" s="20" t="s">
        <v>51</v>
      </c>
    </row>
    <row r="22" spans="1:7" x14ac:dyDescent="0.25">
      <c r="B22" s="20" t="s">
        <v>52</v>
      </c>
      <c r="C22" s="20" t="s">
        <v>20</v>
      </c>
      <c r="D22" s="22">
        <v>0</v>
      </c>
      <c r="E22" s="22">
        <v>120</v>
      </c>
      <c r="F22" s="20" t="s">
        <v>51</v>
      </c>
    </row>
    <row r="23" spans="1:7" ht="15.75" thickBot="1" x14ac:dyDescent="0.3">
      <c r="B23" s="18" t="s">
        <v>53</v>
      </c>
      <c r="C23" s="18" t="s">
        <v>21</v>
      </c>
      <c r="D23" s="21">
        <v>0</v>
      </c>
      <c r="E23" s="21">
        <v>0</v>
      </c>
      <c r="F23" s="18" t="s">
        <v>51</v>
      </c>
    </row>
    <row r="26" spans="1:7" ht="15.75" thickBot="1" x14ac:dyDescent="0.3">
      <c r="A26" t="s">
        <v>44</v>
      </c>
    </row>
    <row r="27" spans="1:7" ht="15.75" thickBot="1" x14ac:dyDescent="0.3">
      <c r="B27" s="19" t="s">
        <v>38</v>
      </c>
      <c r="C27" s="19" t="s">
        <v>39</v>
      </c>
      <c r="D27" s="19" t="s">
        <v>45</v>
      </c>
      <c r="E27" s="19" t="s">
        <v>46</v>
      </c>
      <c r="F27" s="19" t="s">
        <v>47</v>
      </c>
      <c r="G27" s="19" t="s">
        <v>48</v>
      </c>
    </row>
    <row r="28" spans="1:7" x14ac:dyDescent="0.25">
      <c r="B28" s="20" t="s">
        <v>54</v>
      </c>
      <c r="C28" s="20" t="s">
        <v>22</v>
      </c>
      <c r="D28" s="22">
        <v>200</v>
      </c>
      <c r="E28" s="20" t="s">
        <v>55</v>
      </c>
      <c r="F28" s="20" t="s">
        <v>56</v>
      </c>
      <c r="G28" s="20">
        <v>0</v>
      </c>
    </row>
    <row r="29" spans="1:7" x14ac:dyDescent="0.25">
      <c r="B29" s="20" t="s">
        <v>57</v>
      </c>
      <c r="C29" s="20" t="s">
        <v>23</v>
      </c>
      <c r="D29" s="22">
        <v>320</v>
      </c>
      <c r="E29" s="20" t="s">
        <v>58</v>
      </c>
      <c r="F29" s="20" t="s">
        <v>56</v>
      </c>
      <c r="G29" s="20">
        <v>0</v>
      </c>
    </row>
    <row r="30" spans="1:7" ht="15.75" thickBot="1" x14ac:dyDescent="0.3">
      <c r="B30" s="18" t="s">
        <v>59</v>
      </c>
      <c r="C30" s="18" t="s">
        <v>24</v>
      </c>
      <c r="D30" s="21">
        <v>2080</v>
      </c>
      <c r="E30" s="18" t="s">
        <v>60</v>
      </c>
      <c r="F30" s="18" t="s">
        <v>61</v>
      </c>
      <c r="G30" s="18">
        <v>320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showGridLines="0" workbookViewId="0">
      <selection activeCell="D11" sqref="D11"/>
    </sheetView>
  </sheetViews>
  <sheetFormatPr defaultRowHeight="15" x14ac:dyDescent="0.25"/>
  <cols>
    <col min="1" max="1" width="2.28515625" customWidth="1"/>
    <col min="2" max="2" width="6.28515625" bestFit="1" customWidth="1"/>
    <col min="3" max="3" width="6.28515625" customWidth="1"/>
    <col min="4" max="4" width="6.140625" customWidth="1"/>
    <col min="5" max="5" width="8.7109375" bestFit="1" customWidth="1"/>
    <col min="6" max="6" width="10.85546875" bestFit="1" customWidth="1"/>
    <col min="7" max="8" width="10" bestFit="1" customWidth="1"/>
  </cols>
  <sheetData>
    <row r="1" spans="1:8" x14ac:dyDescent="0.25">
      <c r="A1" s="17" t="s">
        <v>62</v>
      </c>
    </row>
    <row r="2" spans="1:8" x14ac:dyDescent="0.25">
      <c r="A2" s="17" t="s">
        <v>27</v>
      </c>
    </row>
    <row r="3" spans="1:8" x14ac:dyDescent="0.25">
      <c r="A3" s="17" t="s">
        <v>28</v>
      </c>
    </row>
    <row r="6" spans="1:8" ht="15.75" thickBot="1" x14ac:dyDescent="0.3">
      <c r="A6" t="s">
        <v>42</v>
      </c>
    </row>
    <row r="7" spans="1:8" x14ac:dyDescent="0.25">
      <c r="B7" s="23"/>
      <c r="C7" s="23"/>
      <c r="D7" s="23" t="s">
        <v>63</v>
      </c>
      <c r="E7" s="23" t="s">
        <v>65</v>
      </c>
      <c r="F7" s="23" t="s">
        <v>67</v>
      </c>
      <c r="G7" s="23" t="s">
        <v>69</v>
      </c>
      <c r="H7" s="23" t="s">
        <v>69</v>
      </c>
    </row>
    <row r="8" spans="1:8" ht="15.75" thickBot="1" x14ac:dyDescent="0.3">
      <c r="B8" s="24" t="s">
        <v>38</v>
      </c>
      <c r="C8" s="24" t="s">
        <v>39</v>
      </c>
      <c r="D8" s="24" t="s">
        <v>64</v>
      </c>
      <c r="E8" s="24" t="s">
        <v>66</v>
      </c>
      <c r="F8" s="24" t="s">
        <v>68</v>
      </c>
      <c r="G8" s="24" t="s">
        <v>70</v>
      </c>
      <c r="H8" s="24" t="s">
        <v>71</v>
      </c>
    </row>
    <row r="9" spans="1:8" x14ac:dyDescent="0.25">
      <c r="B9" s="20" t="s">
        <v>50</v>
      </c>
      <c r="C9" s="20" t="s">
        <v>19</v>
      </c>
      <c r="D9" s="20">
        <v>80</v>
      </c>
      <c r="E9" s="20">
        <v>0</v>
      </c>
      <c r="F9" s="20">
        <v>63</v>
      </c>
      <c r="G9" s="20">
        <v>32</v>
      </c>
      <c r="H9" s="20">
        <v>15.5</v>
      </c>
    </row>
    <row r="10" spans="1:8" x14ac:dyDescent="0.25">
      <c r="B10" s="20" t="s">
        <v>52</v>
      </c>
      <c r="C10" s="20" t="s">
        <v>20</v>
      </c>
      <c r="D10" s="20">
        <v>120</v>
      </c>
      <c r="E10" s="20">
        <v>0</v>
      </c>
      <c r="F10" s="20">
        <v>95</v>
      </c>
      <c r="G10" s="20">
        <v>31</v>
      </c>
      <c r="H10" s="20">
        <v>27.5</v>
      </c>
    </row>
    <row r="11" spans="1:8" ht="15.75" thickBot="1" x14ac:dyDescent="0.3">
      <c r="B11" s="18" t="s">
        <v>53</v>
      </c>
      <c r="C11" s="18" t="s">
        <v>21</v>
      </c>
      <c r="D11" s="18">
        <v>0</v>
      </c>
      <c r="E11" s="18">
        <v>-55</v>
      </c>
      <c r="F11" s="18">
        <v>135</v>
      </c>
      <c r="G11" s="18">
        <v>55</v>
      </c>
      <c r="H11" s="18">
        <v>1E+30</v>
      </c>
    </row>
    <row r="13" spans="1:8" ht="15.75" thickBot="1" x14ac:dyDescent="0.3">
      <c r="A13" t="s">
        <v>44</v>
      </c>
    </row>
    <row r="14" spans="1:8" x14ac:dyDescent="0.25">
      <c r="B14" s="23"/>
      <c r="C14" s="23"/>
      <c r="D14" s="23" t="s">
        <v>63</v>
      </c>
      <c r="E14" s="23" t="s">
        <v>72</v>
      </c>
      <c r="F14" s="23" t="s">
        <v>74</v>
      </c>
      <c r="G14" s="23" t="s">
        <v>69</v>
      </c>
      <c r="H14" s="23" t="s">
        <v>69</v>
      </c>
    </row>
    <row r="15" spans="1:8" ht="15.75" thickBot="1" x14ac:dyDescent="0.3">
      <c r="B15" s="24" t="s">
        <v>38</v>
      </c>
      <c r="C15" s="24" t="s">
        <v>39</v>
      </c>
      <c r="D15" s="24" t="s">
        <v>64</v>
      </c>
      <c r="E15" s="24" t="s">
        <v>73</v>
      </c>
      <c r="F15" s="24" t="s">
        <v>75</v>
      </c>
      <c r="G15" s="24" t="s">
        <v>70</v>
      </c>
      <c r="H15" s="24" t="s">
        <v>71</v>
      </c>
    </row>
    <row r="16" spans="1:8" x14ac:dyDescent="0.25">
      <c r="B16" s="20" t="s">
        <v>54</v>
      </c>
      <c r="C16" s="20" t="s">
        <v>22</v>
      </c>
      <c r="D16" s="20">
        <v>200</v>
      </c>
      <c r="E16" s="20">
        <v>31</v>
      </c>
      <c r="F16" s="20">
        <v>200</v>
      </c>
      <c r="G16" s="20">
        <v>80</v>
      </c>
      <c r="H16" s="20">
        <v>40</v>
      </c>
    </row>
    <row r="17" spans="2:8" x14ac:dyDescent="0.25">
      <c r="B17" s="20" t="s">
        <v>57</v>
      </c>
      <c r="C17" s="20" t="s">
        <v>23</v>
      </c>
      <c r="D17" s="20">
        <v>320</v>
      </c>
      <c r="E17" s="20">
        <v>32</v>
      </c>
      <c r="F17" s="20">
        <v>320</v>
      </c>
      <c r="G17" s="20">
        <v>80</v>
      </c>
      <c r="H17" s="20">
        <v>120</v>
      </c>
    </row>
    <row r="18" spans="2:8" ht="15.75" thickBot="1" x14ac:dyDescent="0.3">
      <c r="B18" s="18" t="s">
        <v>59</v>
      </c>
      <c r="C18" s="18" t="s">
        <v>24</v>
      </c>
      <c r="D18" s="18">
        <v>2080</v>
      </c>
      <c r="E18" s="18">
        <v>0</v>
      </c>
      <c r="F18" s="18">
        <v>2400</v>
      </c>
      <c r="G18" s="18">
        <v>1E+30</v>
      </c>
      <c r="H18" s="18">
        <v>320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"/>
  <sheetViews>
    <sheetView showGridLines="0" tabSelected="1" workbookViewId="0">
      <selection activeCell="L8" sqref="L8"/>
    </sheetView>
  </sheetViews>
  <sheetFormatPr defaultRowHeight="15" x14ac:dyDescent="0.25"/>
  <cols>
    <col min="1" max="1" width="2.28515625" customWidth="1"/>
    <col min="2" max="2" width="5.28515625" bestFit="1" customWidth="1"/>
    <col min="3" max="3" width="9.5703125" bestFit="1" customWidth="1"/>
    <col min="4" max="4" width="6.140625" customWidth="1"/>
    <col min="5" max="5" width="2.28515625" customWidth="1"/>
    <col min="6" max="6" width="6.42578125" customWidth="1"/>
    <col min="7" max="7" width="9.5703125" bestFit="1" customWidth="1"/>
    <col min="8" max="8" width="2.28515625" customWidth="1"/>
    <col min="9" max="9" width="6.5703125" customWidth="1"/>
    <col min="10" max="10" width="9.5703125" bestFit="1" customWidth="1"/>
  </cols>
  <sheetData>
    <row r="1" spans="1:10" x14ac:dyDescent="0.25">
      <c r="A1" s="17" t="s">
        <v>76</v>
      </c>
    </row>
    <row r="2" spans="1:10" x14ac:dyDescent="0.25">
      <c r="A2" s="17" t="s">
        <v>27</v>
      </c>
    </row>
    <row r="3" spans="1:10" x14ac:dyDescent="0.25">
      <c r="A3" s="17" t="s">
        <v>28</v>
      </c>
    </row>
    <row r="5" spans="1:10" ht="15.75" thickBot="1" x14ac:dyDescent="0.3"/>
    <row r="6" spans="1:10" x14ac:dyDescent="0.25">
      <c r="B6" s="23"/>
      <c r="C6" s="23" t="s">
        <v>67</v>
      </c>
      <c r="D6" s="23"/>
    </row>
    <row r="7" spans="1:10" ht="15.75" thickBot="1" x14ac:dyDescent="0.3">
      <c r="B7" s="24" t="s">
        <v>38</v>
      </c>
      <c r="C7" s="24" t="s">
        <v>39</v>
      </c>
      <c r="D7" s="24" t="s">
        <v>64</v>
      </c>
    </row>
    <row r="8" spans="1:10" ht="15.75" thickBot="1" x14ac:dyDescent="0.3">
      <c r="B8" s="18" t="s">
        <v>49</v>
      </c>
      <c r="C8" s="18"/>
      <c r="D8" s="21">
        <v>16440</v>
      </c>
    </row>
    <row r="10" spans="1:10" ht="15.75" thickBot="1" x14ac:dyDescent="0.3"/>
    <row r="11" spans="1:10" x14ac:dyDescent="0.25">
      <c r="B11" s="23"/>
      <c r="C11" s="23" t="s">
        <v>77</v>
      </c>
      <c r="D11" s="23"/>
      <c r="F11" s="23" t="s">
        <v>78</v>
      </c>
      <c r="G11" s="23" t="s">
        <v>67</v>
      </c>
      <c r="I11" s="23" t="s">
        <v>81</v>
      </c>
      <c r="J11" s="23" t="s">
        <v>67</v>
      </c>
    </row>
    <row r="12" spans="1:10" ht="15.75" thickBot="1" x14ac:dyDescent="0.3">
      <c r="B12" s="24" t="s">
        <v>38</v>
      </c>
      <c r="C12" s="24" t="s">
        <v>39</v>
      </c>
      <c r="D12" s="24" t="s">
        <v>64</v>
      </c>
      <c r="F12" s="24" t="s">
        <v>79</v>
      </c>
      <c r="G12" s="24" t="s">
        <v>80</v>
      </c>
      <c r="I12" s="24" t="s">
        <v>79</v>
      </c>
      <c r="J12" s="24" t="s">
        <v>80</v>
      </c>
    </row>
    <row r="13" spans="1:10" x14ac:dyDescent="0.25">
      <c r="B13" s="20" t="s">
        <v>50</v>
      </c>
      <c r="C13" s="20" t="s">
        <v>19</v>
      </c>
      <c r="D13" s="22">
        <v>80</v>
      </c>
      <c r="F13" s="22">
        <v>0</v>
      </c>
      <c r="G13" s="22">
        <v>11400</v>
      </c>
      <c r="I13" s="22">
        <v>80</v>
      </c>
      <c r="J13" s="22">
        <v>16440</v>
      </c>
    </row>
    <row r="14" spans="1:10" x14ac:dyDescent="0.25">
      <c r="B14" s="20" t="s">
        <v>52</v>
      </c>
      <c r="C14" s="20" t="s">
        <v>20</v>
      </c>
      <c r="D14" s="22">
        <v>120</v>
      </c>
      <c r="F14" s="22">
        <v>0</v>
      </c>
      <c r="G14" s="22">
        <v>5040</v>
      </c>
      <c r="I14" s="22">
        <v>120</v>
      </c>
      <c r="J14" s="22">
        <v>16440</v>
      </c>
    </row>
    <row r="15" spans="1:10" ht="15.75" thickBot="1" x14ac:dyDescent="0.3">
      <c r="B15" s="18" t="s">
        <v>53</v>
      </c>
      <c r="C15" s="18" t="s">
        <v>21</v>
      </c>
      <c r="D15" s="21">
        <v>0</v>
      </c>
      <c r="F15" s="21">
        <v>0</v>
      </c>
      <c r="G15" s="21">
        <v>16440</v>
      </c>
      <c r="I15" s="21">
        <v>0</v>
      </c>
      <c r="J15" s="21">
        <v>16440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3:J10"/>
  <sheetViews>
    <sheetView workbookViewId="0">
      <selection activeCell="P14" sqref="P14"/>
    </sheetView>
  </sheetViews>
  <sheetFormatPr defaultRowHeight="15" x14ac:dyDescent="0.25"/>
  <sheetData>
    <row r="3" spans="4:10" x14ac:dyDescent="0.25">
      <c r="E3" s="12" t="s">
        <v>19</v>
      </c>
      <c r="F3" s="12" t="s">
        <v>20</v>
      </c>
      <c r="G3" s="12" t="s">
        <v>21</v>
      </c>
    </row>
    <row r="4" spans="4:10" x14ac:dyDescent="0.25">
      <c r="E4" s="2">
        <v>63</v>
      </c>
      <c r="F4" s="2">
        <v>95</v>
      </c>
      <c r="G4" s="13">
        <v>135</v>
      </c>
    </row>
    <row r="5" spans="4:10" x14ac:dyDescent="0.25">
      <c r="E5" s="14">
        <v>80</v>
      </c>
      <c r="F5" s="14">
        <v>120</v>
      </c>
      <c r="G5" s="14">
        <v>0</v>
      </c>
      <c r="H5">
        <f>SUMPRODUCT(E4:G4, E5:G5)</f>
        <v>16440</v>
      </c>
    </row>
    <row r="8" spans="4:10" x14ac:dyDescent="0.25">
      <c r="D8" s="12" t="s">
        <v>22</v>
      </c>
      <c r="E8" s="15">
        <v>1</v>
      </c>
      <c r="F8" s="15">
        <v>1</v>
      </c>
      <c r="G8" s="15">
        <v>2</v>
      </c>
      <c r="H8">
        <f>SUMPRODUCT(E$5:G$5, E8:G8)</f>
        <v>200</v>
      </c>
      <c r="I8" s="12" t="s">
        <v>25</v>
      </c>
      <c r="J8" s="16">
        <v>200</v>
      </c>
    </row>
    <row r="9" spans="4:10" x14ac:dyDescent="0.25">
      <c r="D9" s="12" t="s">
        <v>23</v>
      </c>
      <c r="E9" s="15">
        <v>1</v>
      </c>
      <c r="F9" s="15">
        <v>2</v>
      </c>
      <c r="G9" s="15">
        <v>4</v>
      </c>
      <c r="H9">
        <f>SUMPRODUCT(E$5:G$5, E9:G9)</f>
        <v>320</v>
      </c>
      <c r="I9" s="12" t="s">
        <v>25</v>
      </c>
      <c r="J9" s="16">
        <v>320</v>
      </c>
    </row>
    <row r="10" spans="4:10" x14ac:dyDescent="0.25">
      <c r="D10" s="12" t="s">
        <v>24</v>
      </c>
      <c r="E10" s="15">
        <v>8</v>
      </c>
      <c r="F10" s="15">
        <v>12</v>
      </c>
      <c r="G10" s="15">
        <v>14</v>
      </c>
      <c r="H10">
        <f t="shared" ref="H9:H10" si="0">SUMPRODUCT(E$5:G$5, E10:G10)</f>
        <v>2080</v>
      </c>
      <c r="I10" s="12" t="s">
        <v>25</v>
      </c>
      <c r="J10" s="16">
        <v>2400</v>
      </c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Answer Report 1</vt:lpstr>
      <vt:lpstr>Sensitivity Report 1</vt:lpstr>
      <vt:lpstr>Limits Report 1</vt:lpstr>
      <vt:lpstr>Sheet2</vt:lpstr>
      <vt:lpstr>Sheet3</vt:lpstr>
    </vt:vector>
  </TitlesOfParts>
  <Company>Dockur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for Docker</dc:creator>
  <cp:lastModifiedBy>Windows for Docker</cp:lastModifiedBy>
  <cp:revision>1</cp:revision>
  <dcterms:created xsi:type="dcterms:W3CDTF">2026-09-16T09:43:34Z</dcterms:created>
  <dcterms:modified xsi:type="dcterms:W3CDTF">2026-09-16T10:06:11Z</dcterms:modified>
</cp:coreProperties>
</file>