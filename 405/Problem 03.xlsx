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 calcMode="manual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<sst xmlns="http://schemas.openxmlformats.org/spreadsheetml/2006/main" count="19" uniqueCount="19">
  <si>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Simplex: 1st tableau</t>
  </si>
  <si>
    <t>BV</t>
  </si>
  <si>
    <t>Cj</t>
  </si>
  <si>
    <t>CB</t>
  </si>
  <si>
    <t>x1</t>
  </si>
  <si>
    <t>x2</t>
  </si>
  <si>
    <t>x3</t>
  </si>
  <si>
    <t>s1</t>
  </si>
  <si>
    <t>s2</t>
  </si>
  <si>
    <t>s3</t>
  </si>
  <si>
    <t>XB</t>
  </si>
  <si>
    <t>Ratio</t>
  </si>
  <si>
    <t>Entering</t>
  </si>
  <si>
    <t>Leaving</t>
  </si>
  <si>
    <t>zj</t>
  </si>
  <si>
    <t xml:space="preserve">zj - cj</t>
  </si>
  <si>
    <t xml:space="preserve">Simplex: 2nd tableau</t>
  </si>
  <si>
    <t xml:space="preserve">Simplex: 3rd tableau</t>
  </si>
  <si>
    <t xml:space="preserve">Simplex: 4th tableau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</si>
</sst>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2" borderId="4" numFmtId="0" xfId="0" applyFill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476250</xdr:colOff>
      <xdr:row>0</xdr:row>
      <xdr:rowOff>133350</xdr:rowOff>
    </xdr:from>
    <xdr:to>
      <xdr:col>10</xdr:col>
      <xdr:colOff>49530</xdr:colOff>
      <xdr:row>17</xdr:row>
      <xdr:rowOff>29209</xdr:rowOff>
    </xdr:to>
    <xdr:pic>
      <xdr:nvPicPr>
        <xdr:cNvPr id="2" name="Picture 1"/>
        <xdr:cNvPicPr/>
      </xdr:nvPicPr>
      <xdr:blipFill rotWithShape="1">
        <a:blip r:embed="rId1"/>
        <a:stretch/>
      </xdr:blipFill>
      <xdr:spPr bwMode="auto">
        <a:xfrm>
          <a:off x="476250" y="133350"/>
          <a:ext cx="5669280" cy="313436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9" zoomScale="100" workbookViewId="0">
      <selection activeCell="J31" activeCellId="0" sqref="J31"/>
    </sheetView>
  </sheetViews>
  <sheetFormatPr defaultRowHeight="14.25"/>
  <sheetData>
    <row r="23">
      <c r="B23" s="1" t="s">
        <v>0</v>
      </c>
      <c r="C23" s="2"/>
      <c r="D23" s="2"/>
      <c r="E23" s="2"/>
      <c r="F23" s="2"/>
      <c r="G23" s="2"/>
      <c r="H23" s="2"/>
      <c r="I23" s="2"/>
      <c r="J23" s="2"/>
      <c r="K23" s="3"/>
      <c r="L23" s="4"/>
      <c r="M23" s="4"/>
      <c r="N23" s="4"/>
    </row>
    <row r="24">
      <c r="B24" s="5" t="s">
        <v>1</v>
      </c>
      <c r="C24" s="5" t="s">
        <v>2</v>
      </c>
      <c r="D24" s="5">
        <v>63</v>
      </c>
      <c r="E24" s="5">
        <v>95</v>
      </c>
      <c r="F24" s="6">
        <v>135</v>
      </c>
      <c r="G24" s="5">
        <v>0</v>
      </c>
      <c r="H24" s="5">
        <v>0</v>
      </c>
      <c r="I24" s="5">
        <v>0</v>
      </c>
      <c r="J24" s="5"/>
      <c r="K24" s="5"/>
      <c r="L24" s="4"/>
      <c r="M24" s="4"/>
      <c r="N24" s="4"/>
    </row>
    <row r="25">
      <c r="B25" s="5"/>
      <c r="C25" s="5" t="s">
        <v>3</v>
      </c>
      <c r="D25" s="5" t="s">
        <v>4</v>
      </c>
      <c r="E25" s="5" t="s">
        <v>5</v>
      </c>
      <c r="F25" s="6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5" t="s">
        <v>11</v>
      </c>
      <c r="L25" s="4"/>
      <c r="M25" s="7" t="s">
        <v>12</v>
      </c>
      <c r="N25" s="8" t="s">
        <v>6</v>
      </c>
    </row>
    <row r="26">
      <c r="B26" s="5" t="s">
        <v>7</v>
      </c>
      <c r="C26" s="9">
        <v>0</v>
      </c>
      <c r="D26" s="9">
        <v>1</v>
      </c>
      <c r="E26" s="9">
        <v>1</v>
      </c>
      <c r="F26" s="10">
        <v>2</v>
      </c>
      <c r="G26" s="9">
        <v>1</v>
      </c>
      <c r="H26" s="9">
        <v>0</v>
      </c>
      <c r="I26" s="9">
        <v>0</v>
      </c>
      <c r="J26" s="9">
        <v>200</v>
      </c>
      <c r="K26" s="9">
        <f>J26/F26</f>
        <v>100</v>
      </c>
      <c r="L26" s="4"/>
      <c r="M26" s="7" t="s">
        <v>13</v>
      </c>
      <c r="N26" s="8" t="s">
        <v>8</v>
      </c>
    </row>
    <row r="27">
      <c r="B27" s="6" t="s">
        <v>8</v>
      </c>
      <c r="C27" s="10">
        <v>0</v>
      </c>
      <c r="D27" s="10">
        <v>1</v>
      </c>
      <c r="E27" s="10">
        <v>2</v>
      </c>
      <c r="F27" s="10">
        <v>4</v>
      </c>
      <c r="G27" s="10">
        <v>0</v>
      </c>
      <c r="H27" s="10">
        <v>1</v>
      </c>
      <c r="I27" s="10">
        <v>0</v>
      </c>
      <c r="J27" s="10">
        <v>320</v>
      </c>
      <c r="K27" s="10">
        <f>J27/F27</f>
        <v>80</v>
      </c>
      <c r="L27" s="4"/>
      <c r="M27" s="4"/>
      <c r="N27" s="4"/>
    </row>
    <row r="28">
      <c r="B28" s="5" t="s">
        <v>9</v>
      </c>
      <c r="C28" s="9">
        <v>0</v>
      </c>
      <c r="D28" s="9">
        <v>8</v>
      </c>
      <c r="E28" s="9">
        <v>12</v>
      </c>
      <c r="F28" s="10">
        <v>14</v>
      </c>
      <c r="G28" s="9">
        <v>0</v>
      </c>
      <c r="H28" s="9">
        <v>0</v>
      </c>
      <c r="I28" s="9">
        <v>1</v>
      </c>
      <c r="J28" s="9">
        <v>2400</v>
      </c>
      <c r="K28" s="9">
        <f>J28/F28</f>
        <v>171.42857142857142</v>
      </c>
      <c r="L28" s="4"/>
      <c r="M28" s="4"/>
      <c r="N28" s="4"/>
    </row>
    <row r="29">
      <c r="B29" s="5"/>
      <c r="C29" s="5" t="s">
        <v>14</v>
      </c>
      <c r="D29" s="9">
        <f>SUMPRODUCT($C26:$C28,D26:D28)</f>
        <v>0</v>
      </c>
      <c r="E29" s="9">
        <f>SUMPRODUCT($C26:$C28,E26:E28)</f>
        <v>0</v>
      </c>
      <c r="F29" s="10">
        <f>SUMPRODUCT($C26:$C28,F26:F28)</f>
        <v>0</v>
      </c>
      <c r="G29" s="9">
        <f>SUMPRODUCT($C26:$C28,G26:G28)</f>
        <v>0</v>
      </c>
      <c r="H29" s="9">
        <f>SUMPRODUCT($C26:$C28,H26:H28)</f>
        <v>0</v>
      </c>
      <c r="I29" s="9">
        <f>SUMPRODUCT($C26:$C28,I26:I28)</f>
        <v>0</v>
      </c>
      <c r="J29" s="9"/>
      <c r="K29" s="9"/>
      <c r="L29" s="4"/>
      <c r="M29" s="4"/>
      <c r="N29" s="4"/>
    </row>
    <row r="30">
      <c r="B30" s="5"/>
      <c r="C30" s="5" t="s">
        <v>15</v>
      </c>
      <c r="D30" s="9">
        <f>D29-D24</f>
        <v>-63</v>
      </c>
      <c r="E30" s="9">
        <f>E29-E24</f>
        <v>-95</v>
      </c>
      <c r="F30" s="10">
        <f>F29-F24</f>
        <v>-135</v>
      </c>
      <c r="G30" s="9">
        <f>G29-G24</f>
        <v>0</v>
      </c>
      <c r="H30" s="9">
        <f>H29-H24</f>
        <v>0</v>
      </c>
      <c r="I30" s="9">
        <f>I29-I24</f>
        <v>0</v>
      </c>
      <c r="J30" s="9"/>
      <c r="K30" s="9"/>
      <c r="L30" s="4"/>
      <c r="M30" s="4"/>
      <c r="N30" s="4"/>
    </row>
    <row r="33" ht="14.25">
      <c r="B33" s="1" t="s">
        <v>16</v>
      </c>
      <c r="C33" s="2"/>
      <c r="D33" s="2"/>
      <c r="E33" s="2"/>
      <c r="F33" s="2"/>
      <c r="G33" s="2"/>
      <c r="H33" s="2"/>
      <c r="I33" s="2"/>
      <c r="J33" s="2"/>
      <c r="K33" s="3"/>
    </row>
    <row r="34" ht="14.25">
      <c r="B34" s="5" t="s">
        <v>1</v>
      </c>
      <c r="C34" s="5" t="s">
        <v>2</v>
      </c>
      <c r="D34" s="6">
        <v>63</v>
      </c>
      <c r="E34" s="5">
        <v>95</v>
      </c>
      <c r="F34" s="5">
        <v>135</v>
      </c>
      <c r="G34" s="5">
        <v>0</v>
      </c>
      <c r="H34" s="5">
        <v>0</v>
      </c>
      <c r="I34" s="5">
        <v>0</v>
      </c>
      <c r="J34" s="5"/>
      <c r="K34" s="5"/>
    </row>
    <row r="35" ht="14.25">
      <c r="B35" s="5"/>
      <c r="C35" s="5" t="s">
        <v>3</v>
      </c>
      <c r="D35" s="6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9</v>
      </c>
      <c r="J35" s="5" t="s">
        <v>10</v>
      </c>
      <c r="K35" s="5" t="s">
        <v>11</v>
      </c>
    </row>
    <row r="36" ht="14.25">
      <c r="B36" s="6" t="s">
        <v>7</v>
      </c>
      <c r="C36" s="10">
        <v>0</v>
      </c>
      <c r="D36" s="10">
        <f>D26-D$37*$F26</f>
        <v>0.5</v>
      </c>
      <c r="E36" s="10">
        <f>E26-E$37*$F26</f>
        <v>0</v>
      </c>
      <c r="F36" s="10">
        <f>F26-F$37*$F26</f>
        <v>0</v>
      </c>
      <c r="G36" s="10">
        <f>G26-G$37*$F26</f>
        <v>1</v>
      </c>
      <c r="H36" s="10">
        <f>H26-H$37*$F26</f>
        <v>-0.5</v>
      </c>
      <c r="I36" s="10">
        <f>I26-I$37*$F26</f>
        <v>0</v>
      </c>
      <c r="J36" s="10">
        <f>J26-J$37*$F26</f>
        <v>40</v>
      </c>
      <c r="K36" s="10">
        <f>J36/D36</f>
        <v>80</v>
      </c>
      <c r="M36" s="7" t="s">
        <v>12</v>
      </c>
      <c r="N36" s="8" t="s">
        <v>4</v>
      </c>
    </row>
    <row r="37" ht="14.25">
      <c r="B37" s="5" t="s">
        <v>6</v>
      </c>
      <c r="C37" s="9">
        <v>135</v>
      </c>
      <c r="D37" s="10">
        <f>D27/$F27</f>
        <v>0.25</v>
      </c>
      <c r="E37" s="9">
        <f>E27/$F27</f>
        <v>0.5</v>
      </c>
      <c r="F37" s="9">
        <f>F27/$F27</f>
        <v>1</v>
      </c>
      <c r="G37" s="9">
        <f>G27/$F27</f>
        <v>0</v>
      </c>
      <c r="H37" s="9">
        <f>H27/$F27</f>
        <v>0.25</v>
      </c>
      <c r="I37" s="9">
        <f>I27/$F27</f>
        <v>0</v>
      </c>
      <c r="J37" s="9">
        <f>J27/$F27</f>
        <v>80</v>
      </c>
      <c r="K37" s="9">
        <f>J37/D37</f>
        <v>320</v>
      </c>
      <c r="M37" s="7" t="s">
        <v>13</v>
      </c>
      <c r="N37" s="8" t="s">
        <v>7</v>
      </c>
    </row>
    <row r="38" ht="14.25">
      <c r="B38" s="5" t="s">
        <v>9</v>
      </c>
      <c r="C38" s="9">
        <v>0</v>
      </c>
      <c r="D38" s="10">
        <f>D28-D$37*$F28</f>
        <v>4.5</v>
      </c>
      <c r="E38" s="9">
        <f>E28-E$37*$F28</f>
        <v>5</v>
      </c>
      <c r="F38" s="9">
        <f>F28-F$37*$F28</f>
        <v>0</v>
      </c>
      <c r="G38" s="9">
        <f>G28-G$37*$F28</f>
        <v>0</v>
      </c>
      <c r="H38" s="9">
        <f>H28-H$37*$F28</f>
        <v>-3.5</v>
      </c>
      <c r="I38" s="9">
        <f>I28-I$37*$F28</f>
        <v>1</v>
      </c>
      <c r="J38" s="9">
        <f>J28-J$37*$F28</f>
        <v>1280</v>
      </c>
      <c r="K38" s="9">
        <f>J38/D38</f>
        <v>284.44444444444446</v>
      </c>
    </row>
    <row r="39" ht="14.25">
      <c r="B39" s="5"/>
      <c r="C39" s="5" t="s">
        <v>14</v>
      </c>
      <c r="D39" s="10">
        <f>SUMPRODUCT($C36:$C38,D36:D38)</f>
        <v>33.75</v>
      </c>
      <c r="E39" s="9">
        <f>SUMPRODUCT($C36:$C38,E36:E38)</f>
        <v>67.5</v>
      </c>
      <c r="F39" s="9">
        <f>SUMPRODUCT($C36:$C38,F36:F38)</f>
        <v>135</v>
      </c>
      <c r="G39" s="9">
        <f>SUMPRODUCT($C36:$C38,G36:G38)</f>
        <v>0</v>
      </c>
      <c r="H39" s="9">
        <f>SUMPRODUCT($C36:$C38,H36:H38)</f>
        <v>33.75</v>
      </c>
      <c r="I39" s="9">
        <f>SUMPRODUCT($C36:$C38,I36:I38)</f>
        <v>0</v>
      </c>
      <c r="J39" s="9"/>
      <c r="K39" s="9"/>
    </row>
    <row r="40" ht="14.25">
      <c r="B40" s="5"/>
      <c r="C40" s="5" t="s">
        <v>15</v>
      </c>
      <c r="D40" s="10">
        <f>D39-D34</f>
        <v>-29.25</v>
      </c>
      <c r="E40" s="9">
        <f>E39-E34</f>
        <v>-27.5</v>
      </c>
      <c r="F40" s="9">
        <f>F39-F34</f>
        <v>0</v>
      </c>
      <c r="G40" s="9">
        <f>G39-G34</f>
        <v>0</v>
      </c>
      <c r="H40" s="9">
        <f>H39-H34</f>
        <v>33.75</v>
      </c>
      <c r="I40" s="9">
        <f>I39-I34</f>
        <v>0</v>
      </c>
      <c r="J40" s="9"/>
      <c r="K40" s="9"/>
    </row>
    <row r="43" ht="14.25">
      <c r="B43" s="1" t="s">
        <v>17</v>
      </c>
      <c r="C43" s="2"/>
      <c r="D43" s="2"/>
      <c r="E43" s="2"/>
      <c r="F43" s="2"/>
      <c r="G43" s="2"/>
      <c r="H43" s="2"/>
      <c r="I43" s="2"/>
      <c r="J43" s="2"/>
      <c r="K43" s="3"/>
    </row>
    <row r="44" ht="14.25">
      <c r="B44" s="5" t="s">
        <v>1</v>
      </c>
      <c r="C44" s="5" t="s">
        <v>2</v>
      </c>
      <c r="D44" s="5">
        <v>63</v>
      </c>
      <c r="E44" s="6">
        <v>95</v>
      </c>
      <c r="F44" s="5">
        <v>135</v>
      </c>
      <c r="G44" s="5">
        <v>0</v>
      </c>
      <c r="H44" s="5">
        <v>0</v>
      </c>
      <c r="I44" s="5">
        <v>0</v>
      </c>
      <c r="J44" s="5"/>
      <c r="K44" s="5"/>
    </row>
    <row r="45" ht="14.25">
      <c r="B45" s="5"/>
      <c r="C45" s="5" t="s">
        <v>3</v>
      </c>
      <c r="D45" s="5" t="s">
        <v>4</v>
      </c>
      <c r="E45" s="6" t="s">
        <v>5</v>
      </c>
      <c r="F45" s="5" t="s">
        <v>6</v>
      </c>
      <c r="G45" s="5" t="s">
        <v>7</v>
      </c>
      <c r="H45" s="5" t="s">
        <v>8</v>
      </c>
      <c r="I45" s="5" t="s">
        <v>9</v>
      </c>
      <c r="J45" s="5" t="s">
        <v>10</v>
      </c>
      <c r="K45" s="5" t="s">
        <v>11</v>
      </c>
    </row>
    <row r="46" ht="14.25">
      <c r="B46" s="5" t="s">
        <v>4</v>
      </c>
      <c r="C46" s="9">
        <v>63</v>
      </c>
      <c r="D46" s="9">
        <f>D36/$D36</f>
        <v>1</v>
      </c>
      <c r="E46" s="10">
        <f>E36/$D36</f>
        <v>0</v>
      </c>
      <c r="F46" s="9">
        <f>F36/$D36</f>
        <v>0</v>
      </c>
      <c r="G46" s="9">
        <f>G36/$D36</f>
        <v>2</v>
      </c>
      <c r="H46" s="9">
        <f>H36/$D36</f>
        <v>-1</v>
      </c>
      <c r="I46" s="9">
        <f>I36/$D36</f>
        <v>0</v>
      </c>
      <c r="J46" s="9">
        <f>J36/$D36</f>
        <v>80</v>
      </c>
      <c r="K46" s="9"/>
      <c r="M46" s="7" t="s">
        <v>12</v>
      </c>
      <c r="N46" s="8" t="s">
        <v>5</v>
      </c>
    </row>
    <row r="47" ht="14.25">
      <c r="B47" s="6" t="s">
        <v>6</v>
      </c>
      <c r="C47" s="10">
        <v>135</v>
      </c>
      <c r="D47" s="10">
        <f>D37-D$46*$D37</f>
        <v>0</v>
      </c>
      <c r="E47" s="10">
        <f>E37-E$46*$D37</f>
        <v>0.5</v>
      </c>
      <c r="F47" s="10">
        <f>F37-F$46*$D37</f>
        <v>1</v>
      </c>
      <c r="G47" s="10">
        <f>G37-G$46*$D37</f>
        <v>-0.5</v>
      </c>
      <c r="H47" s="10">
        <f>H37-H$46*$D37</f>
        <v>0.5</v>
      </c>
      <c r="I47" s="10">
        <f>I37-I$46*$D37</f>
        <v>0</v>
      </c>
      <c r="J47" s="10">
        <f>J37-J$46*$D37</f>
        <v>60</v>
      </c>
      <c r="K47" s="10">
        <f>J47/E47</f>
        <v>120</v>
      </c>
      <c r="M47" s="7" t="s">
        <v>13</v>
      </c>
      <c r="N47" s="8" t="s">
        <v>6</v>
      </c>
    </row>
    <row r="48" ht="14.25">
      <c r="B48" s="5" t="s">
        <v>9</v>
      </c>
      <c r="C48" s="9">
        <v>0</v>
      </c>
      <c r="D48" s="9">
        <f>D38-D$46*$D38</f>
        <v>0</v>
      </c>
      <c r="E48" s="10">
        <f>E38-E$46*$D38</f>
        <v>5</v>
      </c>
      <c r="F48" s="9">
        <f>F38-F$46*$D38</f>
        <v>0</v>
      </c>
      <c r="G48" s="9">
        <f>G38-G$46*$D38</f>
        <v>-9</v>
      </c>
      <c r="H48" s="9">
        <f>H38-H$46*$D38</f>
        <v>1</v>
      </c>
      <c r="I48" s="9">
        <f>I38-I$46*$D38</f>
        <v>1</v>
      </c>
      <c r="J48" s="9">
        <f>J38-J$46*$D38</f>
        <v>920</v>
      </c>
      <c r="K48" s="9">
        <f>J48/E48</f>
        <v>184</v>
      </c>
    </row>
    <row r="49" ht="14.25">
      <c r="B49" s="5"/>
      <c r="C49" s="5" t="s">
        <v>14</v>
      </c>
      <c r="D49" s="9">
        <f>SUMPRODUCT($C46:$C48,D46:D48)</f>
        <v>63</v>
      </c>
      <c r="E49" s="10">
        <f>SUMPRODUCT($C46:$C48,E46:E48)</f>
        <v>67.5</v>
      </c>
      <c r="F49" s="9">
        <f>SUMPRODUCT($C46:$C48,F46:F48)</f>
        <v>135</v>
      </c>
      <c r="G49" s="9">
        <f>SUMPRODUCT($C46:$C48,G46:G48)</f>
        <v>58.5</v>
      </c>
      <c r="H49" s="9">
        <f>SUMPRODUCT($C46:$C48,H46:H48)</f>
        <v>4.5</v>
      </c>
      <c r="I49" s="9">
        <f>SUMPRODUCT($C46:$C48,I46:I48)</f>
        <v>0</v>
      </c>
      <c r="J49" s="9"/>
      <c r="K49" s="9"/>
    </row>
    <row r="50" ht="14.25">
      <c r="B50" s="5"/>
      <c r="C50" s="5" t="s">
        <v>15</v>
      </c>
      <c r="D50" s="9">
        <f>D49-D44</f>
        <v>0</v>
      </c>
      <c r="E50" s="10">
        <f>E49-E44</f>
        <v>-27.5</v>
      </c>
      <c r="F50" s="9">
        <f>F49-F44</f>
        <v>0</v>
      </c>
      <c r="G50" s="9">
        <f>G49-G44</f>
        <v>58.5</v>
      </c>
      <c r="H50" s="9">
        <f>H49-H44</f>
        <v>4.5</v>
      </c>
      <c r="I50" s="9">
        <f>I49-I44</f>
        <v>0</v>
      </c>
      <c r="J50" s="9"/>
      <c r="K50" s="9"/>
    </row>
    <row r="53" ht="14.25">
      <c r="B53" s="1" t="s">
        <v>18</v>
      </c>
      <c r="C53" s="2"/>
      <c r="D53" s="2"/>
      <c r="E53" s="2"/>
      <c r="F53" s="2"/>
      <c r="G53" s="2"/>
      <c r="H53" s="2"/>
      <c r="I53" s="2"/>
      <c r="J53" s="2"/>
      <c r="K53" s="3"/>
    </row>
    <row r="54" ht="14.25">
      <c r="B54" s="5" t="s">
        <v>1</v>
      </c>
      <c r="C54" s="5" t="s">
        <v>2</v>
      </c>
      <c r="D54" s="5">
        <v>63</v>
      </c>
      <c r="E54" s="5">
        <v>95</v>
      </c>
      <c r="F54" s="5">
        <v>135</v>
      </c>
      <c r="G54" s="5">
        <v>0</v>
      </c>
      <c r="H54" s="5">
        <v>0</v>
      </c>
      <c r="I54" s="5">
        <v>0</v>
      </c>
      <c r="J54" s="5"/>
      <c r="K54" s="5"/>
    </row>
    <row r="55" ht="14.25">
      <c r="B55" s="5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</row>
    <row r="56" ht="14.25">
      <c r="B56" s="5" t="s">
        <v>4</v>
      </c>
      <c r="C56" s="9">
        <v>63</v>
      </c>
      <c r="D56" s="9">
        <f>D46-D$57*$E46</f>
        <v>1</v>
      </c>
      <c r="E56" s="9">
        <f>E46-E$57*$E46</f>
        <v>0</v>
      </c>
      <c r="F56" s="9">
        <f>F46-F$57*$E46</f>
        <v>0</v>
      </c>
      <c r="G56" s="9">
        <f>G46-G$57*$E46</f>
        <v>2</v>
      </c>
      <c r="H56" s="9">
        <f>H46-H$57*$E46</f>
        <v>-1</v>
      </c>
      <c r="I56" s="9">
        <f>I46-I$57*$E46</f>
        <v>0</v>
      </c>
      <c r="J56" s="11">
        <f>J46-J$57*$E46</f>
        <v>80</v>
      </c>
      <c r="K56" s="9"/>
    </row>
    <row r="57" ht="14.25">
      <c r="B57" s="5" t="s">
        <v>5</v>
      </c>
      <c r="C57" s="9">
        <v>95</v>
      </c>
      <c r="D57" s="9">
        <f>D47/$E47</f>
        <v>0</v>
      </c>
      <c r="E57" s="9">
        <f>E47/$E47</f>
        <v>1</v>
      </c>
      <c r="F57" s="9">
        <f>F47/$E47</f>
        <v>2</v>
      </c>
      <c r="G57" s="9">
        <f>G47/$E47</f>
        <v>-1</v>
      </c>
      <c r="H57" s="9">
        <f>H47/$E47</f>
        <v>1</v>
      </c>
      <c r="I57" s="9">
        <f>I47/$E47</f>
        <v>0</v>
      </c>
      <c r="J57" s="11">
        <f>J47/$E47</f>
        <v>120</v>
      </c>
      <c r="K57" s="9"/>
    </row>
    <row r="58" ht="14.25">
      <c r="B58" s="5" t="s">
        <v>9</v>
      </c>
      <c r="C58" s="9">
        <v>0</v>
      </c>
      <c r="D58" s="9">
        <f>D48-D$57*$E48</f>
        <v>0</v>
      </c>
      <c r="E58" s="9">
        <f>E48-E$57*$E48</f>
        <v>0</v>
      </c>
      <c r="F58" s="9">
        <f>F48-F$57*$E48</f>
        <v>-10</v>
      </c>
      <c r="G58" s="9">
        <f>G48-G$57*$E48</f>
        <v>-4</v>
      </c>
      <c r="H58" s="9">
        <f>H48-H$57*$E48</f>
        <v>-4</v>
      </c>
      <c r="I58" s="9">
        <f>I48-I$57*$E48</f>
        <v>1</v>
      </c>
      <c r="J58" s="9">
        <f>J48-J$57*$E48</f>
        <v>320</v>
      </c>
      <c r="K58" s="9"/>
    </row>
    <row r="59" ht="14.25">
      <c r="B59" s="5"/>
      <c r="C59" s="5" t="s">
        <v>14</v>
      </c>
      <c r="D59" s="9">
        <f>SUMPRODUCT($C56:$C58,D56:D58)</f>
        <v>63</v>
      </c>
      <c r="E59" s="9">
        <f>SUMPRODUCT($C56:$C58,E56:E58)</f>
        <v>95</v>
      </c>
      <c r="F59" s="9">
        <f>SUMPRODUCT($C56:$C58,F56:F58)</f>
        <v>190</v>
      </c>
      <c r="G59" s="9">
        <f>SUMPRODUCT($C56:$C58,G56:G58)</f>
        <v>31</v>
      </c>
      <c r="H59" s="9">
        <f>SUMPRODUCT($C56:$C58,H56:H58)</f>
        <v>32</v>
      </c>
      <c r="I59" s="9">
        <f>SUMPRODUCT($C56:$C58,I56:I58)</f>
        <v>0</v>
      </c>
      <c r="J59" s="9"/>
      <c r="K59" s="9"/>
    </row>
    <row r="60" ht="14.25">
      <c r="B60" s="5"/>
      <c r="C60" s="5" t="s">
        <v>15</v>
      </c>
      <c r="D60" s="9">
        <f>D59-D54</f>
        <v>0</v>
      </c>
      <c r="E60" s="9">
        <f>E59-E54</f>
        <v>0</v>
      </c>
      <c r="F60" s="9">
        <f>F59-F54</f>
        <v>55</v>
      </c>
      <c r="G60" s="9">
        <f>G59-G54</f>
        <v>31</v>
      </c>
      <c r="H60" s="9">
        <f>H59-H54</f>
        <v>32</v>
      </c>
      <c r="I60" s="9">
        <f>I59-I54</f>
        <v>0</v>
      </c>
      <c r="J60" s="9"/>
      <c r="K60" s="9"/>
    </row>
  </sheetData>
  <mergeCells count="4">
    <mergeCell ref="B23:K23"/>
    <mergeCell ref="B33:K33"/>
    <mergeCell ref="B43:K43"/>
    <mergeCell ref="B53:K5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Dockur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revision>1</cp:revision>
  <dcterms:created xsi:type="dcterms:W3CDTF">2026-09-16T09:43:34Z</dcterms:created>
  <dcterms:modified xsi:type="dcterms:W3CDTF">2026-09-16T15:57:53Z</dcterms:modified>
</cp:coreProperties>
</file>