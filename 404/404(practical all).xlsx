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charts/chart6.xml" ContentType="application/vnd.openxmlformats-officedocument.drawingml.chart+xml"/>
  <Override PartName="/xl/worksheets/sheet4.xml" ContentType="application/vnd.openxmlformats-officedocument.spreadsheetml.workshee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3.xml" ContentType="application/vnd.openxmlformats-officedocument.drawingml.chartshapes+xml"/>
  <Override PartName="/xl/drawings/drawing2.xml" ContentType="application/vnd.openxmlformats-officedocument.drawing+xml"/>
  <Override PartName="/docProps/core.xml" ContentType="application/vnd.openxmlformats-package.core-properties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drawing1.xml" ContentType="application/vnd.openxmlformats-officedocument.drawingml.chartshap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1 no." sheetId="1" state="visible" r:id="rId1"/>
    <sheet name="2 no." sheetId="2" state="visible" r:id="rId2"/>
    <sheet name="3 no." sheetId="3" state="visible" r:id="rId3"/>
    <sheet name="4 no." sheetId="4" state="visible" r:id="rId4"/>
    <sheet name="5 no.." sheetId="5" state="visible" r:id="rId5"/>
    <sheet name="5 no." sheetId="6" state="visible" r:id="rId6"/>
    <sheet name="6 no." sheetId="7" state="visible" r:id="rId7"/>
    <sheet name="6 no.." sheetId="8" state="visible" r:id="rId8"/>
  </sheets>
  <definedNames>
    <definedName name="b">'6 no.'!$K$26:$K$27</definedName>
    <definedName name="in">'6 no.'!$H$26:$I$27</definedName>
    <definedName name="X">'1 no.'!$B$20:$C$31</definedName>
    <definedName name="Xt">'1 no.'!$E$19:$P$20</definedName>
    <definedName name="xtx">'6 no.'!$H$22:$I$23</definedName>
    <definedName name="xty">'6 no.'!$K$22:$K$23</definedName>
    <definedName name="xx">'6 no.'!$M$47:$O$61</definedName>
    <definedName name="xxt">'6 no.'!$Q$42:$AE$44</definedName>
    <definedName name="Y">'1 no.'!$D$2:$D$13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<sst xmlns="http://schemas.openxmlformats.org/spreadsheetml/2006/main" count="213" uniqueCount="213">
  <si>
    <t>x</t>
  </si>
  <si>
    <t>y</t>
  </si>
  <si>
    <t xml:space="preserve">X=log10 (x)</t>
  </si>
  <si>
    <t>Y=log10(y)</t>
  </si>
  <si>
    <t>SP(X,Y)</t>
  </si>
  <si>
    <t>SS(X)</t>
  </si>
  <si>
    <t xml:space="preserve">SUMMARY OUTPUT</t>
  </si>
  <si>
    <t>B1</t>
  </si>
  <si>
    <t xml:space="preserve">Regression Statistics</t>
  </si>
  <si>
    <t>Bo</t>
  </si>
  <si>
    <t xml:space="preserve">Multiple R</t>
  </si>
  <si>
    <t xml:space="preserve">R Square</t>
  </si>
  <si>
    <t>A</t>
  </si>
  <si>
    <t xml:space="preserve">Adjusted R Square</t>
  </si>
  <si>
    <t>rho</t>
  </si>
  <si>
    <t xml:space="preserve">Standard Error</t>
  </si>
  <si>
    <t>Observations</t>
  </si>
  <si>
    <t>ANOVA</t>
  </si>
  <si>
    <t>X'</t>
  </si>
  <si>
    <t>df</t>
  </si>
  <si>
    <t>SS</t>
  </si>
  <si>
    <t>MS</t>
  </si>
  <si>
    <t>F</t>
  </si>
  <si>
    <t xml:space="preserve">Significance F</t>
  </si>
  <si>
    <t>X</t>
  </si>
  <si>
    <t>Regression</t>
  </si>
  <si>
    <t>Residual</t>
  </si>
  <si>
    <t>Total</t>
  </si>
  <si>
    <t>XtX</t>
  </si>
  <si>
    <t>(XtX)^-1</t>
  </si>
  <si>
    <t>XtY</t>
  </si>
  <si>
    <t>B</t>
  </si>
  <si>
    <t>Coefficients</t>
  </si>
  <si>
    <t xml:space="preserve">t Stat</t>
  </si>
  <si>
    <t>P-value</t>
  </si>
  <si>
    <t xml:space="preserve">Lower 95%</t>
  </si>
  <si>
    <t xml:space="preserve">Upper 95%</t>
  </si>
  <si>
    <t xml:space="preserve">Lower 95.0%</t>
  </si>
  <si>
    <t xml:space="preserve">Upper 95.0%</t>
  </si>
  <si>
    <t>Intercept</t>
  </si>
  <si>
    <t xml:space="preserve">Class Interval</t>
  </si>
  <si>
    <t xml:space="preserve">Mid values (Xi)</t>
  </si>
  <si>
    <t xml:space="preserve">No. of workers in percentages (fi)</t>
  </si>
  <si>
    <t>fiXi</t>
  </si>
  <si>
    <t>fiXi^2</t>
  </si>
  <si>
    <t xml:space="preserve">Upper class boundary</t>
  </si>
  <si>
    <t xml:space="preserve">ln of class upper boundary (yi)</t>
  </si>
  <si>
    <t>Zi=(yi-mu)/sigma</t>
  </si>
  <si>
    <t>phi(Zi)</t>
  </si>
  <si>
    <t xml:space="preserve">del phi(Zi)</t>
  </si>
  <si>
    <t xml:space="preserve">Expected frequency (Ei)</t>
  </si>
  <si>
    <t>(Oi-Ei)^2/Ei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</si>
  <si>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</si>
  <si>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</si>
  <si>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</si>
  <si>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</si>
  <si>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</si>
  <si>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</si>
  <si>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</si>
  <si>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</si>
  <si>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</si>
  <si>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</si>
  <si>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</si>
  <si>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Chi-square</t>
  </si>
  <si>
    <t>tab.</t>
  </si>
  <si>
    <t xml:space="preserve">X bar</t>
  </si>
  <si>
    <t>S^2</t>
  </si>
  <si>
    <t xml:space="preserve">mu hat</t>
  </si>
  <si>
    <t xml:space="preserve">sigma s. hat</t>
  </si>
  <si>
    <t>Income</t>
  </si>
  <si>
    <t xml:space="preserve">Cumulative Income</t>
  </si>
  <si>
    <t xml:space="preserve">Cumulative Income (%)</t>
  </si>
  <si>
    <t xml:space="preserve">No. of Persons</t>
  </si>
  <si>
    <t xml:space="preserve">Cumulative frequency</t>
  </si>
  <si>
    <t xml:space="preserve">Cumulative frequency (%)</t>
  </si>
  <si>
    <t xml:space="preserve">For Factory A</t>
  </si>
  <si>
    <t xml:space="preserve">For Factory B</t>
  </si>
  <si>
    <t xml:space="preserve">Daily income</t>
  </si>
  <si>
    <t xml:space="preserve">Mid value</t>
  </si>
  <si>
    <t xml:space="preserve">Cumulative mid value</t>
  </si>
  <si>
    <t>%</t>
  </si>
  <si>
    <t xml:space="preserve">No. of worker</t>
  </si>
  <si>
    <t>0-100</t>
  </si>
  <si>
    <t>100-200</t>
  </si>
  <si>
    <t>200-300</t>
  </si>
  <si>
    <t>300-400</t>
  </si>
  <si>
    <t>400-500</t>
  </si>
  <si>
    <t xml:space="preserve">cumulative pop</t>
  </si>
  <si>
    <t xml:space="preserve">cumulative income (%)</t>
  </si>
  <si>
    <t xml:space="preserve">Area Under Lorenz Curve (B)</t>
  </si>
  <si>
    <t xml:space="preserve">Area B</t>
  </si>
  <si>
    <t xml:space="preserve">Gini coeff.</t>
  </si>
  <si>
    <t>A/(A+B)</t>
  </si>
  <si>
    <t xml:space="preserve">Area A</t>
  </si>
  <si>
    <t>Gini</t>
  </si>
  <si>
    <t>ni</t>
  </si>
  <si>
    <t>Eoi</t>
  </si>
  <si>
    <t>Efi</t>
  </si>
  <si>
    <t>Xi=ln(Eoi)</t>
  </si>
  <si>
    <t>Yi=ln(Efi)</t>
  </si>
  <si>
    <t>niXiYi</t>
  </si>
  <si>
    <t>niXi</t>
  </si>
  <si>
    <t>niYi</t>
  </si>
  <si>
    <t>niXi^2</t>
  </si>
  <si>
    <t xml:space="preserve">B hat</t>
  </si>
  <si>
    <t xml:space="preserve">a hat</t>
  </si>
  <si>
    <t>V(B)</t>
  </si>
  <si>
    <t>se(B)</t>
  </si>
  <si>
    <t>Z</t>
  </si>
  <si>
    <t xml:space="preserve">Z tab</t>
  </si>
  <si>
    <t>years</t>
  </si>
  <si>
    <t>GCF</t>
  </si>
  <si>
    <t>1965-66</t>
  </si>
  <si>
    <t>1966-67</t>
  </si>
  <si>
    <t>1967-68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</si>
  <si>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</si>
  <si>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</si>
  <si>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</si>
  <si>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</si>
  <si>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</si>
  <si>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</si>
  <si>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</si>
  <si>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</si>
  <si>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</si>
  <si>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</si>
  <si>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</si>
  <si>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</si>
  <si>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</si>
  <si>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</si>
  <si>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AVERAGE</t>
  </si>
  <si>
    <t>y=a+bx</t>
  </si>
  <si>
    <t xml:space="preserve">semi avg</t>
  </si>
  <si>
    <t>a</t>
  </si>
  <si>
    <t>b</t>
  </si>
  <si>
    <t xml:space="preserve">21.4(left out)</t>
  </si>
  <si>
    <t>Years</t>
  </si>
  <si>
    <t xml:space="preserve">Gross capital formation</t>
  </si>
  <si>
    <t xml:space="preserve">2-yearly moving avg</t>
  </si>
  <si>
    <t xml:space="preserve">Centered moving avg(trend)</t>
  </si>
  <si>
    <t>-</t>
  </si>
  <si>
    <t xml:space="preserve">Gross capital F, y</t>
  </si>
  <si>
    <t>y^</t>
  </si>
  <si>
    <t>Binary</t>
  </si>
  <si>
    <t>Runs</t>
  </si>
  <si>
    <t xml:space="preserve">X Variable 1</t>
  </si>
  <si>
    <t>n0</t>
  </si>
  <si>
    <t>n1</t>
  </si>
  <si>
    <t>n</t>
  </si>
  <si>
    <t>E</t>
  </si>
  <si>
    <t>V</t>
  </si>
  <si>
    <t xml:space="preserve">p value</t>
  </si>
  <si>
    <t>Firm</t>
  </si>
  <si>
    <t xml:space="preserve">Output (1000 tons)</t>
  </si>
  <si>
    <t xml:space="preserve">Labour (hour)</t>
  </si>
  <si>
    <t xml:space="preserve">Capital (machine hour)</t>
  </si>
  <si>
    <t>Q</t>
  </si>
  <si>
    <t>L</t>
  </si>
  <si>
    <t>K</t>
  </si>
  <si>
    <t>Y</t>
  </si>
  <si>
    <t>X1</t>
  </si>
  <si>
    <t>X2</t>
  </si>
  <si>
    <t>X1^2</t>
  </si>
  <si>
    <t>X2^2</t>
  </si>
  <si>
    <t>X1X2</t>
  </si>
  <si>
    <t>X1Y</t>
  </si>
  <si>
    <t>X2Y</t>
  </si>
  <si>
    <t>Y^2</t>
  </si>
  <si>
    <t>x'x</t>
  </si>
  <si>
    <t>x'y</t>
  </si>
  <si>
    <t>∑x1i^2</t>
  </si>
  <si>
    <t>∑x2i^2</t>
  </si>
  <si>
    <t>∑x1ix2i</t>
  </si>
  <si>
    <t>∑x1iyi</t>
  </si>
  <si>
    <t>(x'x)^-1</t>
  </si>
  <si>
    <t>B^</t>
  </si>
  <si>
    <t>ao^</t>
  </si>
  <si>
    <t>Bo^</t>
  </si>
  <si>
    <t>∑x2iyi</t>
  </si>
  <si>
    <t>SSY</t>
  </si>
  <si>
    <t>SSR</t>
  </si>
  <si>
    <t>SV</t>
  </si>
  <si>
    <t>DF</t>
  </si>
  <si>
    <t>MSS</t>
  </si>
  <si>
    <t xml:space="preserve">F cal</t>
  </si>
  <si>
    <t xml:space="preserve">F tab</t>
  </si>
  <si>
    <t>R^2</t>
  </si>
  <si>
    <t>SSE</t>
  </si>
  <si>
    <t>V(B^)</t>
  </si>
  <si>
    <t>t1</t>
  </si>
  <si>
    <t>t2</t>
  </si>
  <si>
    <t xml:space="preserve">t tab</t>
  </si>
  <si>
    <t>SE(B1^)</t>
  </si>
  <si>
    <t>SE(B2^)</t>
  </si>
  <si>
    <t xml:space="preserve">y hat</t>
  </si>
  <si>
    <t xml:space="preserve">(y-y hat)^2</t>
  </si>
  <si>
    <t xml:space="preserve">(y hat-ybar)^2</t>
  </si>
  <si>
    <t>XTY</t>
  </si>
  <si>
    <t>XTX</t>
  </si>
  <si>
    <t>(XTX)^-1</t>
  </si>
  <si>
    <t>xt</t>
  </si>
  <si>
    <t>x3</t>
  </si>
  <si>
    <t>yhat</t>
  </si>
  <si>
    <t>(y-yhat)^2</t>
  </si>
  <si>
    <t>(yhat-ybar)^2</t>
  </si>
  <si>
    <t>Xtx</t>
  </si>
  <si>
    <t>XTX^-1</t>
  </si>
  <si>
    <t>xty</t>
  </si>
  <si>
    <t>ssres</t>
  </si>
  <si>
    <t>ssreg</t>
  </si>
  <si>
    <t>sst</t>
  </si>
  <si>
    <t>v(B)</t>
  </si>
  <si>
    <t>t3</t>
  </si>
  <si>
    <t>tcal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</si>
</sst>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i/>
      <sz val="11.000000"/>
      <color theme="1"/>
      <name val="Calibri"/>
      <scheme val="minor"/>
    </font>
    <font>
      <b/>
      <sz val="12.000000"/>
      <color theme="1"/>
      <name val="Times New Roman"/>
    </font>
    <font>
      <sz val="12.000000"/>
      <color theme="1"/>
      <name val="Times New Roman"/>
    </font>
    <font>
      <b/>
      <sz val="11.000000"/>
      <color theme="1"/>
      <name val="Calibri"/>
      <scheme val="minor"/>
    </font>
    <font>
      <sz val="11.000000"/>
      <color theme="2" tint="-0.89999084444715716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0.249977111117893"/>
      </patternFill>
    </fill>
    <fill>
      <patternFill patternType="solid">
        <fgColor theme="3" tint="0.59999389629810485"/>
      </patternFill>
    </fill>
    <fill>
      <patternFill patternType="solid">
        <fgColor theme="0"/>
      </patternFill>
    </fill>
    <fill>
      <patternFill patternType="solid">
        <fgColor theme="3" tint="0.39997558519241921"/>
      </patternFill>
    </fill>
    <fill>
      <patternFill patternType="solid">
        <fgColor theme="2" tint="-0.499984740745262"/>
      </patternFill>
    </fill>
    <fill>
      <patternFill patternType="solid">
        <fgColor theme="3" tint="0.79998168889431442"/>
      </patternFill>
    </fill>
    <fill>
      <patternFill patternType="solid">
        <fgColor theme="4" tint="0.79998168889431442"/>
      </patternFill>
    </fill>
    <fill>
      <patternFill patternType="solid">
        <fgColor theme="2" tint="-0.099978637043366805"/>
      </patternFill>
    </fill>
    <fill>
      <patternFill patternType="solid">
        <fgColor theme="5" tint="0.59999389629810485"/>
      </patternFill>
    </fill>
    <fill>
      <patternFill patternType="solid">
        <fgColor theme="5" tint="0.39997558519241921"/>
      </patternFill>
    </fill>
    <fill>
      <patternFill patternType="solid">
        <fgColor theme="5" tint="0.79998168889431442"/>
      </patternFill>
    </fill>
    <fill>
      <patternFill patternType="solid">
        <fgColor theme="6" tint="0.39997558519241921"/>
      </patternFill>
    </fill>
    <fill>
      <patternFill patternType="solid">
        <fgColor rgb="FFFFC000"/>
      </patternFill>
    </fill>
    <fill>
      <patternFill patternType="solid">
        <fgColor theme="6" tint="0.59999389629810485"/>
      </patternFill>
    </fill>
    <fill>
      <patternFill patternType="solid">
        <fgColor indexed="2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4">
    <xf fontId="0" fillId="0" borderId="0" numFmtId="0" xfId="0"/>
    <xf fontId="0" fillId="2" borderId="0" numFmtId="0" xfId="0" applyFill="1"/>
    <xf fontId="0" fillId="0" borderId="0" numFmtId="0" xfId="0"/>
    <xf fontId="1" fillId="0" borderId="1" numFmtId="0" xfId="0" applyFont="1" applyBorder="1" applyAlignment="1">
      <alignment horizontal="centerContinuous"/>
    </xf>
    <xf fontId="0" fillId="0" borderId="2" numFmtId="0" xfId="0" applyBorder="1"/>
    <xf fontId="1" fillId="0" borderId="1" numFmtId="0" xfId="0" applyFont="1" applyBorder="1" applyAlignment="1">
      <alignment horizontal="center"/>
    </xf>
    <xf fontId="0" fillId="3" borderId="0" numFmtId="0" xfId="0" applyFill="1" applyAlignment="1">
      <alignment horizontal="center" vertical="center" wrapText="1"/>
    </xf>
    <xf fontId="0" fillId="3" borderId="0" numFmtId="0" xfId="0" applyFill="1" applyAlignment="1">
      <alignment horizontal="center" wrapText="1"/>
    </xf>
    <xf fontId="0" fillId="3" borderId="0" numFmtId="0" xfId="0" applyFill="1" applyAlignment="1">
      <alignment horizontal="center" vertical="center"/>
    </xf>
    <xf fontId="0" fillId="3" borderId="0" numFmtId="0" xfId="0" applyFill="1" applyAlignment="1">
      <alignment vertical="center"/>
    </xf>
    <xf fontId="0" fillId="4" borderId="0" numFmtId="0" xfId="0" applyFill="1" applyAlignment="1">
      <alignment horizontal="center" vertical="center" wrapText="1"/>
    </xf>
    <xf fontId="0" fillId="4" borderId="0" numFmtId="0" xfId="0" applyFill="1" applyAlignment="1">
      <alignment horizontal="center" wrapText="1"/>
    </xf>
    <xf fontId="0" fillId="4" borderId="0" numFmtId="0" xfId="0" applyFill="1" applyAlignment="1">
      <alignment horizontal="center" vertical="center"/>
    </xf>
    <xf fontId="0" fillId="0" borderId="0" numFmtId="0" xfId="0" applyAlignment="1">
      <alignment horizontal="right" wrapText="1"/>
    </xf>
    <xf fontId="0" fillId="0" borderId="0" numFmtId="0" xfId="0" applyAlignment="1">
      <alignment horizontal="center" wrapText="1"/>
    </xf>
    <xf fontId="0" fillId="0" borderId="0" numFmtId="49" xfId="0" applyNumberFormat="1" quotePrefix="1"/>
    <xf fontId="0" fillId="3" borderId="0" numFmtId="0" xfId="0" applyFill="1"/>
    <xf fontId="0" fillId="5" borderId="0" numFmtId="0" xfId="0" applyFill="1"/>
    <xf fontId="0" fillId="5" borderId="0" numFmtId="0" xfId="0" applyFill="1" applyAlignment="1">
      <alignment wrapText="1"/>
    </xf>
    <xf fontId="0" fillId="5" borderId="0" numFmtId="0" xfId="0" applyFill="1" applyAlignment="1">
      <alignment horizontal="center" vertical="center" wrapText="1"/>
    </xf>
    <xf fontId="0" fillId="5" borderId="0" numFmtId="0" xfId="0" applyFill="1" applyAlignment="1">
      <alignment horizontal="center" wrapText="1"/>
    </xf>
    <xf fontId="0" fillId="6" borderId="3" numFmtId="0" xfId="0" applyFill="1" applyBorder="1" applyAlignment="1">
      <alignment horizontal="center"/>
    </xf>
    <xf fontId="0" fillId="7" borderId="3" numFmtId="0" xfId="0" applyFill="1" applyBorder="1" applyAlignment="1">
      <alignment horizontal="center"/>
    </xf>
    <xf fontId="0" fillId="2" borderId="0" numFmtId="0" xfId="0" applyFill="1" applyAlignment="1">
      <alignment wrapText="1"/>
    </xf>
    <xf fontId="0" fillId="2" borderId="0" numFmtId="0" xfId="0" applyFill="1" applyAlignment="1">
      <alignment horizontal="center" vertical="center"/>
    </xf>
    <xf fontId="0" fillId="6" borderId="0" numFmtId="0" xfId="0" applyFill="1" applyAlignment="1">
      <alignment wrapText="1"/>
    </xf>
    <xf fontId="0" fillId="6" borderId="0" numFmtId="0" xfId="0" applyFill="1" applyAlignment="1">
      <alignment horizontal="center" vertical="center"/>
    </xf>
    <xf fontId="0" fillId="7" borderId="0" numFmtId="0" xfId="0" applyFill="1" applyAlignment="1">
      <alignment wrapText="1"/>
    </xf>
    <xf fontId="0" fillId="7" borderId="0" numFmtId="0" xfId="0" applyFill="1" applyAlignment="1">
      <alignment horizontal="center" vertical="center"/>
    </xf>
    <xf fontId="0" fillId="4" borderId="0" numFmtId="0" xfId="0" applyFill="1" applyAlignment="1">
      <alignment wrapText="1"/>
    </xf>
    <xf fontId="0" fillId="4" borderId="0" numFmtId="0" xfId="0" applyFill="1" applyAlignment="1">
      <alignment horizontal="right" vertical="center"/>
    </xf>
    <xf fontId="0" fillId="0" borderId="0" numFmtId="0" xfId="0" applyAlignment="1">
      <alignment wrapText="1"/>
    </xf>
    <xf fontId="2" fillId="8" borderId="3" numFmtId="0" xfId="0" applyFont="1" applyFill="1" applyBorder="1" applyAlignment="1">
      <alignment horizontal="center" vertical="center" wrapText="1"/>
    </xf>
    <xf fontId="0" fillId="9" borderId="0" numFmtId="0" xfId="0" applyFill="1"/>
    <xf fontId="0" fillId="5" borderId="3" numFmtId="0" xfId="0" applyFill="1" applyBorder="1"/>
    <xf fontId="0" fillId="0" borderId="3" numFmtId="0" xfId="0" applyBorder="1"/>
    <xf fontId="0" fillId="2" borderId="3" numFmtId="0" xfId="0" applyFill="1" applyBorder="1"/>
    <xf fontId="0" fillId="10" borderId="3" numFmtId="0" xfId="0" applyFill="1" applyBorder="1"/>
    <xf fontId="3" fillId="0" borderId="3" numFmtId="0" xfId="0" applyFont="1" applyBorder="1" applyAlignment="1">
      <alignment horizontal="center" vertical="center" wrapText="1"/>
    </xf>
    <xf fontId="3" fillId="0" borderId="4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center" wrapText="1"/>
    </xf>
    <xf fontId="0" fillId="10" borderId="6" numFmtId="0" xfId="0" applyFill="1" applyBorder="1"/>
    <xf fontId="0" fillId="10" borderId="7" numFmtId="0" xfId="0" applyFill="1" applyBorder="1"/>
    <xf fontId="3" fillId="0" borderId="6" numFmtId="0" xfId="0" applyFont="1" applyBorder="1" applyAlignment="1">
      <alignment horizontal="center" vertical="center" wrapText="1"/>
    </xf>
    <xf fontId="0" fillId="0" borderId="8" numFmtId="0" xfId="0" applyBorder="1" applyAlignment="1">
      <alignment vertical="center"/>
    </xf>
    <xf fontId="3" fillId="0" borderId="2" numFmtId="0" xfId="0" applyFont="1" applyBorder="1" applyAlignment="1">
      <alignment horizontal="center" vertical="center" wrapText="1"/>
    </xf>
    <xf fontId="0" fillId="0" borderId="7" numFmtId="0" xfId="0" applyBorder="1" applyAlignment="1">
      <alignment vertical="center"/>
    </xf>
    <xf fontId="0" fillId="0" borderId="9" numFmtId="0" xfId="0" applyBorder="1" applyAlignment="1">
      <alignment vertical="center"/>
    </xf>
    <xf fontId="0" fillId="0" borderId="10" numFmtId="0" xfId="0" applyBorder="1" applyAlignment="1">
      <alignment vertical="center"/>
    </xf>
    <xf fontId="0" fillId="0" borderId="11" numFmtId="0" xfId="0" applyBorder="1" applyAlignment="1">
      <alignment vertical="center"/>
    </xf>
    <xf fontId="4" fillId="10" borderId="3" numFmtId="0" xfId="0" applyFont="1" applyFill="1" applyBorder="1" applyAlignment="1">
      <alignment horizontal="center" vertical="top"/>
    </xf>
    <xf fontId="0" fillId="10" borderId="3" numFmtId="0" xfId="0" applyFill="1" applyBorder="1" applyAlignment="1">
      <alignment horizontal="center" vertical="center" wrapText="1"/>
    </xf>
    <xf fontId="0" fillId="10" borderId="3" numFmtId="0" xfId="0" applyFill="1" applyBorder="1" applyAlignment="1">
      <alignment horizontal="center" wrapText="1"/>
    </xf>
    <xf fontId="0" fillId="0" borderId="0" numFmtId="49" xfId="0" applyNumberFormat="1"/>
    <xf fontId="0" fillId="0" borderId="0" numFmtId="0" xfId="0" applyAlignment="1">
      <alignment horizontal="center"/>
    </xf>
    <xf fontId="0" fillId="0" borderId="0" numFmtId="0" xfId="0" applyAlignment="1">
      <alignment horizontal="center" vertical="top"/>
    </xf>
    <xf fontId="0" fillId="10" borderId="3" numFmtId="0" xfId="0" applyFill="1" applyBorder="1" applyAlignment="1">
      <alignment horizontal="center"/>
    </xf>
    <xf fontId="0" fillId="10" borderId="0" numFmtId="0" xfId="0" applyFill="1"/>
    <xf fontId="0" fillId="2" borderId="0" numFmtId="0" xfId="0" applyFill="1" applyAlignment="1">
      <alignment horizontal="center"/>
    </xf>
    <xf fontId="0" fillId="9" borderId="0" numFmtId="0" xfId="0" applyFill="1" applyAlignment="1">
      <alignment horizontal="center"/>
    </xf>
    <xf fontId="0" fillId="3" borderId="0" numFmtId="0" xfId="0" applyFill="1" applyAlignment="1">
      <alignment horizontal="center"/>
    </xf>
    <xf fontId="0" fillId="11" borderId="0" numFmtId="0" xfId="0" applyFill="1"/>
    <xf fontId="0" fillId="12" borderId="0" numFmtId="0" xfId="0" applyFill="1"/>
    <xf fontId="0" fillId="13" borderId="0" numFmtId="0" xfId="0" applyFill="1"/>
    <xf fontId="0" fillId="3" borderId="3" numFmtId="0" xfId="0" applyFill="1" applyBorder="1"/>
    <xf fontId="0" fillId="3" borderId="12" numFmtId="0" xfId="0" applyFill="1" applyBorder="1"/>
    <xf fontId="0" fillId="13" borderId="3" numFmtId="0" xfId="0" applyFill="1" applyBorder="1"/>
    <xf fontId="0" fillId="14" borderId="3" numFmtId="0" xfId="0" applyFill="1" applyBorder="1"/>
    <xf fontId="0" fillId="0" borderId="0" numFmtId="0" xfId="0" applyAlignment="1">
      <alignment horizontal="center" vertical="center"/>
    </xf>
    <xf fontId="0" fillId="10" borderId="0" numFmtId="0" xfId="0" applyFill="1" applyAlignment="1">
      <alignment horizontal="center"/>
    </xf>
    <xf fontId="0" fillId="15" borderId="0" numFmtId="0" xfId="0" applyFill="1" applyAlignment="1">
      <alignment horizontal="center"/>
    </xf>
    <xf fontId="0" fillId="15" borderId="0" numFmtId="0" xfId="0" applyFill="1"/>
    <xf fontId="5" fillId="0" borderId="0" numFmtId="0" xfId="0" applyFont="1" applyAlignment="1">
      <alignment horizontal="center"/>
    </xf>
    <xf fontId="0" fillId="16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1.xml" /></Relationships>
</file>

<file path=xl/charts/_rels/chart2.xml.rels><?xml version="1.0" encoding="UTF-8" standalone="yes"?><Relationships xmlns="http://schemas.openxmlformats.org/package/2006/relationships"></Relationships>
</file>

<file path=xl/charts/_rels/chart3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3.xml" /></Relationships>
</file>

<file path=xl/charts/_rels/chart4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/Relationships>
</file>

<file path=xl/charts/_rels/chart6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3864"/>
          <c:y val="0.088438"/>
          <c:w val="0.621942"/>
          <c:h val="0.734448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'3 no.'!$F$2:$F$7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'3 no.'!$C$2:$C$7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35</c:v>
                </c:pt>
                <c:pt idx="4">
                  <c:v>60</c:v>
                </c:pt>
                <c:pt idx="5">
                  <c:v>100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'3 no.'!$F$2:$F$7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'3 no.'!$F$2:$F$7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55752320"/>
        <c:axId val="155758592"/>
      </c:scatterChart>
      <c:valAx>
        <c:axId val="155752320"/>
        <c:scaling>
          <c:orientation val="minMax"/>
          <c:max val="100.000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  <a:r>
                  <a:rPr lang="en-US"/>
                  <a:t>  OF  PERSONS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5758592"/>
        <c:crosses val="autoZero"/>
        <c:crossBetween val="midCat"/>
      </c:valAx>
      <c:valAx>
        <c:axId val="155758592"/>
        <c:scaling>
          <c:orientation val="minMax"/>
          <c:max val="100.00000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 </a:t>
                </a:r>
                <a:r>
                  <a:rPr lang="en-US"/>
                  <a:t> OF  INCOME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55752320"/>
        <c:crosses val="autoZero"/>
        <c:crossBetween val="midCat"/>
      </c:valAx>
    </c:plotArea>
    <c:plotVisOnly val="1"/>
    <c:dispBlanksAs val="gap"/>
    <c:showDLblsOverMax val="0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072"/>
          <c:y val="0.069859"/>
          <c:w val="0.680844"/>
          <c:h val="0.843149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'3 no.'!$G$18:$G$23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'3 no.'!$D$18:$D$23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ser>
          <c:idx val="1"/>
          <c:order val="1"/>
          <c:xVal>
            <c:numRef>
              <c:f>'3 no.'!$J$18:$J$23</c:f>
              <c:numCache>
                <c:formatCode>General</c:formatCode>
                <c:ptCount val="6"/>
                <c:pt idx="0">
                  <c:v>0</c:v>
                </c:pt>
                <c:pt idx="1">
                  <c:v>60</c:v>
                </c:pt>
                <c:pt idx="2">
                  <c:v>84</c:v>
                </c:pt>
                <c:pt idx="3">
                  <c:v>92</c:v>
                </c:pt>
                <c:pt idx="4">
                  <c:v>96</c:v>
                </c:pt>
                <c:pt idx="5">
                  <c:v>100</c:v>
                </c:pt>
              </c:numCache>
            </c:numRef>
          </c:xVal>
          <c:yVal>
            <c:numRef>
              <c:f>'3 no.'!$D$18:$D$23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ser>
          <c:idx val="2"/>
          <c:order val="2"/>
          <c:xVal>
            <c:numRef>
              <c:f>'3 no.'!$D$18:$D$23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xVal>
          <c:yVal>
            <c:numRef>
              <c:f>'3 no.'!$D$18:$D$23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55773568"/>
        <c:axId val="155775360"/>
      </c:scatterChart>
      <c:valAx>
        <c:axId val="155773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775360"/>
        <c:crosses val="autoZero"/>
        <c:crossBetween val="midCat"/>
      </c:valAx>
      <c:valAx>
        <c:axId val="155775360"/>
        <c:scaling>
          <c:orientation val="minMax"/>
        </c:scaling>
        <c:delete val="0"/>
        <c:axPos val="l"/>
        <c:majorGridlines>
          <c:spPr bwMode="auto"/>
        </c:majorGridlines>
        <c:numFmt formatCode="General" sourceLinked="1"/>
        <c:majorTickMark val="out"/>
        <c:minorTickMark val="none"/>
        <c:tickLblPos val="nextTo"/>
        <c:crossAx val="1557735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669"/>
          <c:y val="0.051401"/>
          <c:w val="0.838553"/>
          <c:h val="0.641397"/>
        </c:manualLayout>
      </c:layout>
      <c:lineChart>
        <c:grouping val="standard"/>
        <c:varyColors val="0"/>
        <c:ser>
          <c:idx val="0"/>
          <c:order val="0"/>
          <c:tx>
            <c:strRef>
              <c:f>'5 no..'!$C$1</c:f>
              <c:strCache>
                <c:ptCount val="1"/>
                <c:pt idx="0">
                  <c:v>GCF</c:v>
                </c:pt>
              </c:strCache>
            </c:strRef>
          </c:tx>
          <c:marker>
            <c:symbol val="circle"/>
            <c:size val="6"/>
          </c:marker>
          <c:cat>
            <c:strRef>
              <c:f>'5 no..'!$B$2:$B$18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'5 no..'!$C$2:$C$18</c:f>
              <c:numCache>
                <c:formatCode>General</c:formatCode>
                <c:ptCount val="17"/>
                <c:pt idx="0">
                  <c:v>19.3</c:v>
                </c:pt>
                <c:pt idx="1">
                  <c:v>20.9</c:v>
                </c:pt>
                <c:pt idx="2">
                  <c:v>17.8</c:v>
                </c:pt>
                <c:pt idx="3">
                  <c:v>16.1</c:v>
                </c:pt>
                <c:pt idx="4">
                  <c:v>17.6</c:v>
                </c:pt>
                <c:pt idx="5">
                  <c:v>17.8</c:v>
                </c:pt>
                <c:pt idx="6">
                  <c:v>18.3</c:v>
                </c:pt>
                <c:pt idx="7">
                  <c:v>17.3</c:v>
                </c:pt>
                <c:pt idx="8">
                  <c:v>21.4</c:v>
                </c:pt>
                <c:pt idx="9">
                  <c:v>19.3</c:v>
                </c:pt>
                <c:pt idx="10">
                  <c:v>18.1</c:v>
                </c:pt>
                <c:pt idx="11">
                  <c:v>19.5</c:v>
                </c:pt>
                <c:pt idx="12">
                  <c:v>19.2</c:v>
                </c:pt>
                <c:pt idx="13">
                  <c:v>22.2</c:v>
                </c:pt>
                <c:pt idx="14">
                  <c:v>20.9</c:v>
                </c:pt>
                <c:pt idx="15">
                  <c:v>21.5</c:v>
                </c:pt>
                <c:pt idx="16">
                  <c:v>21.9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179368320"/>
        <c:axId val="179370240"/>
      </c:lineChart>
      <c:catAx>
        <c:axId val="179368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  <a:endParaRPr/>
              </a:p>
            </c:rich>
          </c:tx>
          <c:layout/>
          <c:overlay val="0"/>
        </c:title>
        <c:majorTickMark val="out"/>
        <c:minorTickMark val="none"/>
        <c:tickLblPos val="nextTo"/>
        <c:crossAx val="179370240"/>
        <c:crosses val="autoZero"/>
        <c:auto val="1"/>
        <c:lblAlgn val="ctr"/>
        <c:lblOffset val="100"/>
        <c:noMultiLvlLbl val="0"/>
      </c:catAx>
      <c:valAx>
        <c:axId val="179370240"/>
        <c:scaling>
          <c:orientation val="minMax"/>
          <c:max val="23.000000"/>
          <c:min val="15.000000"/>
        </c:scaling>
        <c:delete val="0"/>
        <c:axPos val="l"/>
        <c:majorGridlines>
          <c:spPr bwMode="auto"/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GCF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9368320"/>
        <c:crosses val="autoZero"/>
        <c:crossBetween val="between"/>
      </c:valAx>
    </c:plotArea>
    <c:plotVisOnly val="1"/>
    <c:dispBlanksAs val="gap"/>
    <c:showDLblsOverMax val="0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'5 no..'!$C$1</c:f>
              <c:strCache>
                <c:ptCount val="1"/>
                <c:pt idx="0">
                  <c:v>GCF</c:v>
                </c:pt>
              </c:strCache>
            </c:strRef>
          </c:tx>
          <c:marker>
            <c:symbol val="circle"/>
            <c:size val="7"/>
          </c:marker>
          <c:cat>
            <c:strRef>
              <c:f>'5 no..'!$B$2:$B$18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cat>
          <c:val>
            <c:numRef>
              <c:f>'5 no..'!$C$2:$C$18</c:f>
              <c:numCache>
                <c:formatCode>General</c:formatCode>
                <c:ptCount val="17"/>
                <c:pt idx="0">
                  <c:v>19.3</c:v>
                </c:pt>
                <c:pt idx="1">
                  <c:v>20.9</c:v>
                </c:pt>
                <c:pt idx="2">
                  <c:v>17.8</c:v>
                </c:pt>
                <c:pt idx="3">
                  <c:v>16.1</c:v>
                </c:pt>
                <c:pt idx="4">
                  <c:v>17.6</c:v>
                </c:pt>
                <c:pt idx="5">
                  <c:v>17.8</c:v>
                </c:pt>
                <c:pt idx="6">
                  <c:v>18.3</c:v>
                </c:pt>
                <c:pt idx="7">
                  <c:v>17.3</c:v>
                </c:pt>
                <c:pt idx="8">
                  <c:v>21.4</c:v>
                </c:pt>
                <c:pt idx="9">
                  <c:v>19.3</c:v>
                </c:pt>
                <c:pt idx="10">
                  <c:v>18.1</c:v>
                </c:pt>
                <c:pt idx="11">
                  <c:v>19.5</c:v>
                </c:pt>
                <c:pt idx="12">
                  <c:v>19.2</c:v>
                </c:pt>
                <c:pt idx="13">
                  <c:v>22.2</c:v>
                </c:pt>
                <c:pt idx="14">
                  <c:v>20.9</c:v>
                </c:pt>
                <c:pt idx="15">
                  <c:v>21.5</c:v>
                </c:pt>
                <c:pt idx="16">
                  <c:v>21.9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148523264"/>
        <c:axId val="148537728"/>
      </c:lineChart>
      <c:catAx>
        <c:axId val="148523264"/>
        <c:scaling>
          <c:orientation val="minMax"/>
        </c:scaling>
        <c:delete val="0"/>
        <c:axPos val="b"/>
        <c:majorTickMark val="out"/>
        <c:minorTickMark val="none"/>
        <c:tickLblPos val="nextTo"/>
        <c:crossAx val="148537728"/>
        <c:crosses val="autoZero"/>
        <c:auto val="1"/>
        <c:lblAlgn val="ctr"/>
        <c:lblOffset val="100"/>
        <c:noMultiLvlLbl val="0"/>
      </c:catAx>
      <c:valAx>
        <c:axId val="148537728"/>
        <c:scaling>
          <c:orientation val="minMax"/>
          <c:max val="23.000000"/>
          <c:min val="16.000000"/>
        </c:scaling>
        <c:delete val="0"/>
        <c:axPos val="l"/>
        <c:majorGridlines>
          <c:spPr bwMode="auto"/>
        </c:majorGridlines>
        <c:numFmt formatCode="General" sourceLinked="1"/>
        <c:majorTickMark val="out"/>
        <c:minorTickMark val="none"/>
        <c:tickLblPos val="nextTo"/>
        <c:crossAx val="148523264"/>
        <c:crosses val="autoZero"/>
        <c:crossBetween val="between"/>
      </c:valAx>
    </c:plotArea>
    <c:plotVisOnly val="1"/>
    <c:dispBlanksAs val="zero"/>
    <c:showDLblsOverMax val="0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 no.'!$I$2</c:f>
              <c:strCache>
                <c:ptCount val="1"/>
                <c:pt idx="0">
                  <c:v>semi avg</c:v>
                </c:pt>
              </c:strCache>
            </c:strRef>
          </c:tx>
          <c:cat>
            <c:strRef>
              <c:f>'5 no.'!$H$3:$H$4</c:f>
              <c:strCache>
                <c:ptCount val="2"/>
                <c:pt idx="0">
                  <c:v>1969-70</c:v>
                </c:pt>
                <c:pt idx="1">
                  <c:v>1978-79</c:v>
                </c:pt>
              </c:strCache>
            </c:strRef>
          </c:cat>
          <c:val>
            <c:numRef>
              <c:f>'5 no.'!$I$3:$I$4</c:f>
              <c:numCache>
                <c:formatCode>General</c:formatCode>
                <c:ptCount val="2"/>
                <c:pt idx="0">
                  <c:v>18.1375</c:v>
                </c:pt>
                <c:pt idx="1">
                  <c:v>20.325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246561408"/>
        <c:axId val="246575488"/>
      </c:lineChart>
      <c:catAx>
        <c:axId val="246561408"/>
        <c:scaling>
          <c:orientation val="minMax"/>
        </c:scaling>
        <c:delete val="0"/>
        <c:axPos val="b"/>
        <c:majorTickMark val="out"/>
        <c:minorTickMark val="none"/>
        <c:tickLblPos val="nextTo"/>
        <c:crossAx val="246575488"/>
        <c:crosses val="autoZero"/>
        <c:auto val="1"/>
        <c:lblAlgn val="ctr"/>
        <c:lblOffset val="100"/>
        <c:noMultiLvlLbl val="0"/>
      </c:catAx>
      <c:valAx>
        <c:axId val="246575488"/>
        <c:scaling>
          <c:orientation val="minMax"/>
        </c:scaling>
        <c:delete val="0"/>
        <c:axPos val="l"/>
        <c:majorGridlines>
          <c:spPr bwMode="auto"/>
        </c:majorGridlines>
        <c:numFmt formatCode="General" sourceLinked="1"/>
        <c:majorTickMark val="out"/>
        <c:minorTickMark val="none"/>
        <c:tickLblPos val="nextTo"/>
        <c:crossAx val="246561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Leat</a:t>
            </a:r>
            <a:r>
              <a:rPr lang="en-US"/>
              <a:t> Squares Line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strRef>
              <c:f>'5 no.'!$B$66:$B$82</c:f>
              <c:strCache>
                <c:ptCount val="17"/>
                <c:pt idx="0">
                  <c:v>1965-66</c:v>
                </c:pt>
                <c:pt idx="1">
                  <c:v>1966-67</c:v>
                </c:pt>
                <c:pt idx="2">
                  <c:v>1967-68</c:v>
                </c:pt>
                <c:pt idx="3">
                  <c:v>1968-69</c:v>
                </c:pt>
                <c:pt idx="4">
                  <c:v>1969-70</c:v>
                </c:pt>
                <c:pt idx="5">
                  <c:v>1970-71</c:v>
                </c:pt>
                <c:pt idx="6">
                  <c:v>1971-72</c:v>
                </c:pt>
                <c:pt idx="7">
                  <c:v>1972-73</c:v>
                </c:pt>
                <c:pt idx="8">
                  <c:v>1973-74</c:v>
                </c:pt>
                <c:pt idx="9">
                  <c:v>1974-75</c:v>
                </c:pt>
                <c:pt idx="10">
                  <c:v>1975-76</c:v>
                </c:pt>
                <c:pt idx="11">
                  <c:v>1976-77</c:v>
                </c:pt>
                <c:pt idx="12">
                  <c:v>1977-78</c:v>
                </c:pt>
                <c:pt idx="13">
                  <c:v>1978-79</c:v>
                </c:pt>
                <c:pt idx="14">
                  <c:v>1979-80</c:v>
                </c:pt>
                <c:pt idx="15">
                  <c:v>1980-81</c:v>
                </c:pt>
                <c:pt idx="16">
                  <c:v>1981-82</c:v>
                </c:pt>
              </c:strCache>
            </c:strRef>
          </c:xVal>
          <c:yVal>
            <c:numRef>
              <c:f>'5 no.'!$E$66:$E$82</c:f>
              <c:numCache>
                <c:formatCode>General</c:formatCode>
                <c:ptCount val="17"/>
                <c:pt idx="0">
                  <c:v>17.649019607843137</c:v>
                </c:pt>
                <c:pt idx="1">
                  <c:v>17.862745098039216</c:v>
                </c:pt>
                <c:pt idx="2">
                  <c:v>18.076470588235292</c:v>
                </c:pt>
                <c:pt idx="3">
                  <c:v>18.29019607843137</c:v>
                </c:pt>
                <c:pt idx="4">
                  <c:v>18.50392156862745</c:v>
                </c:pt>
                <c:pt idx="5">
                  <c:v>18.717647058823527</c:v>
                </c:pt>
                <c:pt idx="6">
                  <c:v>18.931372549019606</c:v>
                </c:pt>
                <c:pt idx="7">
                  <c:v>19.145098039215686</c:v>
                </c:pt>
                <c:pt idx="8">
                  <c:v>19.35882352941176</c:v>
                </c:pt>
                <c:pt idx="9">
                  <c:v>19.57254901960784</c:v>
                </c:pt>
                <c:pt idx="10">
                  <c:v>19.78627450980392</c:v>
                </c:pt>
                <c:pt idx="11">
                  <c:v>19.999999999999996</c:v>
                </c:pt>
                <c:pt idx="12">
                  <c:v>20.213725490196076</c:v>
                </c:pt>
                <c:pt idx="13">
                  <c:v>20.427450980392155</c:v>
                </c:pt>
                <c:pt idx="14">
                  <c:v>20.64117647058823</c:v>
                </c:pt>
                <c:pt idx="15">
                  <c:v>20.85490196078431</c:v>
                </c:pt>
                <c:pt idx="16">
                  <c:v>21.06862745098039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246604160"/>
        <c:axId val="246605696"/>
      </c:scatterChart>
      <c:valAx>
        <c:axId val="246604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46605696"/>
        <c:crosses val="autoZero"/>
        <c:crossBetween val="midCat"/>
      </c:valAx>
      <c:valAx>
        <c:axId val="246605696"/>
        <c:scaling>
          <c:orientation val="minMax"/>
        </c:scaling>
        <c:delete val="0"/>
        <c:axPos val="l"/>
        <c:majorGridlines>
          <c:spPr bwMode="auto"/>
        </c:majorGridlines>
        <c:numFmt formatCode="General" sourceLinked="1"/>
        <c:majorTickMark val="out"/>
        <c:minorTickMark val="none"/>
        <c:tickLblPos val="nextTo"/>
        <c:crossAx val="246604160"/>
        <c:crosses val="autoZero"/>
        <c:crossBetween val="midCat"/>
      </c:valAx>
    </c:plotArea>
    <c:plotVisOnly val="1"/>
    <c:dispBlanksAs val="gap"/>
    <c:showDLblsOverMax val="0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drawings/_rels/drawing1.xml.rels><?xml version="1.0" encoding="UTF-8" standalone="yes"?><Relationships xmlns="http://schemas.openxmlformats.org/package/2006/relationships"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Relationship Id="rId2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 /><Relationship Id="rId2" Type="http://schemas.openxmlformats.org/officeDocument/2006/relationships/chart" Target="../charts/chart6.xml" /></Relationships>
</file>

<file path=xl/drawings/drawing1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0.24993000000000001</cdr:x>
      <cdr:y>0.32432</cdr:y>
    </cdr:from>
    <cdr:to>
      <cdr:x>0.7268</cdr:x>
      <cdr:y>0.41049000000000002</cdr:y>
    </cdr:to>
    <cdr:sp textlink="">
      <cdr:nvSpPr>
        <cdr:cNvPr id="2" name="TextBox 1"/>
        <cdr:cNvSpPr txBox="1"/>
      </cdr:nvSpPr>
      <cdr:spPr bwMode="auto">
        <a:xfrm rot="19559539">
          <a:off x="1142668" y="889664"/>
          <a:ext cx="2180279" cy="236396"/>
        </a:xfrm>
        <a:prstGeom prst="rect">
          <a:avLst/>
        </a:prstGeom>
      </cdr:spPr>
      <cdr:txBody>
        <a:bodyPr vertOverflow="clip" wrap="square" rtlCol="0"/>
        <a:lstStyle/>
        <a:p>
          <a:pPr>
            <a:defRPr/>
          </a:pPr>
          <a:r>
            <a:rPr lang="en-US" sz="1100" b="1"/>
            <a:t>LINE OF EQUAL DISTRIBUTION</a:t>
          </a:r>
          <a:endParaRPr/>
        </a:p>
      </cdr:txBody>
    </cdr:sp>
  </cdr:relSizeAnchor>
  <cdr:relSizeAnchor>
    <cdr:from>
      <cdr:x>0.47186</cdr:x>
      <cdr:y>0.51810999999999996</cdr:y>
    </cdr:from>
    <cdr:to>
      <cdr:x>0.75931999999999999</cdr:x>
      <cdr:y>0.63019999999999998</cdr:y>
    </cdr:to>
    <cdr:sp textlink="">
      <cdr:nvSpPr>
        <cdr:cNvPr id="3" name="TextBox 2"/>
        <cdr:cNvSpPr txBox="1"/>
      </cdr:nvSpPr>
      <cdr:spPr bwMode="auto">
        <a:xfrm rot="19613483">
          <a:off x="2157334" y="1421285"/>
          <a:ext cx="1314258" cy="307469"/>
        </a:xfrm>
        <a:prstGeom prst="rect">
          <a:avLst/>
        </a:prstGeom>
      </cdr:spPr>
      <cdr:txBody>
        <a:bodyPr vertOverflow="clip" wrap="square" rtlCol="0"/>
        <a:lstStyle/>
        <a:p>
          <a:pPr>
            <a:defRPr/>
          </a:pPr>
          <a:r>
            <a:rPr lang="en-US" sz="1100" b="1"/>
            <a:t>LORENZ CURVE</a:t>
          </a:r>
          <a:endParaRPr/>
        </a:p>
      </cdr:txBody>
    </cdr:sp>
  </cdr:relSizeAnchor>
  <cdr:relSizeAnchor>
    <cdr:from>
      <cdr:x>0.79791999999999996</cdr:x>
      <cdr:y>0.01968</cdr:y>
    </cdr:from>
    <cdr:to>
      <cdr:x>0.87014000000000002</cdr:x>
      <cdr:y>0.13078999999999999</cdr:y>
    </cdr:to>
    <cdr:sp textlink="">
      <cdr:nvSpPr>
        <cdr:cNvPr id="4" name="TextBox 3"/>
        <cdr:cNvSpPr txBox="1"/>
      </cdr:nvSpPr>
      <cdr:spPr bwMode="auto">
        <a:xfrm>
          <a:off x="3648074" y="53974"/>
          <a:ext cx="330200" cy="304800"/>
        </a:xfrm>
        <a:prstGeom prst="rect">
          <a:avLst/>
        </a:prstGeom>
      </cdr:spPr>
      <cdr:txBody>
        <a:bodyPr vertOverflow="clip" wrap="square" rtlCol="0"/>
        <a:lstStyle/>
        <a:p>
          <a:pPr>
            <a:defRPr/>
          </a:pPr>
          <a:r>
            <a:rPr lang="en-US" sz="1100" b="1"/>
            <a:t>P</a:t>
          </a:r>
          <a:endParaRPr/>
        </a:p>
      </cdr:txBody>
    </cdr:sp>
  </cdr:relSizeAnchor>
</c:userShape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7</xdr:col>
      <xdr:colOff>155575</xdr:colOff>
      <xdr:row>0</xdr:row>
      <xdr:rowOff>142875</xdr:rowOff>
    </xdr:from>
    <xdr:to>
      <xdr:col>14</xdr:col>
      <xdr:colOff>460375</xdr:colOff>
      <xdr:row>14</xdr:row>
      <xdr:rowOff>123824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12</xdr:col>
      <xdr:colOff>174624</xdr:colOff>
      <xdr:row>14</xdr:row>
      <xdr:rowOff>180975</xdr:rowOff>
    </xdr:from>
    <xdr:to>
      <xdr:col>19</xdr:col>
      <xdr:colOff>479425</xdr:colOff>
      <xdr:row>29</xdr:row>
      <xdr:rowOff>161924</xdr:rowOff>
    </xdr:to>
    <xdr:graphicFrame>
      <xdr:nvGraphicFramePr>
        <xdr:cNvPr id="4" name="Chart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0.29931000000000002</cdr:x>
      <cdr:y>0.6331</cdr:y>
    </cdr:from>
    <cdr:to>
      <cdr:x>0.36597000000000002</cdr:x>
      <cdr:y>0.73031999999999997</cdr:y>
    </cdr:to>
    <cdr:sp textlink="">
      <cdr:nvSpPr>
        <cdr:cNvPr id="3" name="Oval 2"/>
        <cdr:cNvSpPr/>
      </cdr:nvSpPr>
      <cdr:spPr bwMode="auto">
        <a:xfrm>
          <a:off x="1368425" y="1736725"/>
          <a:ext cx="304800" cy="266700"/>
        </a:xfrm>
        <a:prstGeom prst="ellipse">
          <a:avLst/>
        </a:prstGeom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cdr:style>
      <cdr:txBody>
        <a:bodyPr vertOverflow="clip"/>
        <a:lstStyle/>
        <a:p>
          <a:pPr>
            <a:defRPr/>
          </a:pPr>
          <a:r>
            <a:rPr lang="en-US"/>
            <a:t>t</a:t>
          </a:r>
          <a:endParaRPr/>
        </a:p>
      </cdr:txBody>
    </cdr:sp>
  </cdr:relSizeAnchor>
  <cdr:relSizeAnchor>
    <cdr:from>
      <cdr:x>0.43819000000000002</cdr:x>
      <cdr:y>0.28819</cdr:y>
    </cdr:from>
    <cdr:to>
      <cdr:x>0.50624999999999998</cdr:x>
      <cdr:y>0.40855999999999998</cdr:y>
    </cdr:to>
    <cdr:sp textlink="">
      <cdr:nvSpPr>
        <cdr:cNvPr id="4" name="Oval 3"/>
        <cdr:cNvSpPr/>
      </cdr:nvSpPr>
      <cdr:spPr bwMode="auto">
        <a:xfrm>
          <a:off x="2003425" y="790575"/>
          <a:ext cx="311150" cy="330200"/>
        </a:xfrm>
        <a:prstGeom prst="ellipse">
          <a:avLst/>
        </a:prstGeom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cdr:style>
      <cdr:txBody>
        <a:bodyPr vertOverflow="clip"/>
        <a:lstStyle/>
        <a:p>
          <a:pPr>
            <a:defRPr/>
          </a:pPr>
          <a:r>
            <a:rPr lang="en-US"/>
            <a:t>p</a:t>
          </a:r>
          <a:endParaRPr/>
        </a:p>
      </cdr:txBody>
    </cdr:sp>
  </cdr:relSizeAnchor>
  <cdr:relSizeAnchor>
    <cdr:from>
      <cdr:x>0.48819000000000001</cdr:x>
      <cdr:y>0.54744999999999999</cdr:y>
    </cdr:from>
    <cdr:to>
      <cdr:x>0.55625000000000002</cdr:x>
      <cdr:y>0.67013999999999996</cdr:y>
    </cdr:to>
    <cdr:sp textlink="">
      <cdr:nvSpPr>
        <cdr:cNvPr id="5" name="Oval 4"/>
        <cdr:cNvSpPr/>
      </cdr:nvSpPr>
      <cdr:spPr bwMode="auto">
        <a:xfrm>
          <a:off x="2232025" y="1501775"/>
          <a:ext cx="311150" cy="336550"/>
        </a:xfrm>
        <a:prstGeom prst="ellipse">
          <a:avLst/>
        </a:prstGeom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cdr:style>
      <cdr:txBody>
        <a:bodyPr vertOverflow="clip"/>
        <a:lstStyle/>
        <a:p>
          <a:pPr>
            <a:defRPr/>
          </a:pPr>
          <a:r>
            <a:rPr lang="en-US"/>
            <a:t>t</a:t>
          </a:r>
          <a:endParaRPr/>
        </a:p>
      </cdr:txBody>
    </cdr:sp>
  </cdr:relSizeAnchor>
  <cdr:relSizeAnchor>
    <cdr:from>
      <cdr:x>0.51875000000000004</cdr:x>
      <cdr:y>0.042819999999999997</cdr:y>
    </cdr:from>
    <cdr:to>
      <cdr:x>0.59375</cdr:x>
      <cdr:y>0.16088</cdr:y>
    </cdr:to>
    <cdr:sp textlink="">
      <cdr:nvSpPr>
        <cdr:cNvPr id="6" name="Oval 5"/>
        <cdr:cNvSpPr/>
      </cdr:nvSpPr>
      <cdr:spPr bwMode="auto">
        <a:xfrm>
          <a:off x="2371725" y="117475"/>
          <a:ext cx="342900" cy="323850"/>
        </a:xfrm>
        <a:prstGeom prst="ellipse">
          <a:avLst/>
        </a:prstGeom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cdr:style>
      <cdr:txBody>
        <a:bodyPr vertOverflow="clip"/>
        <a:lstStyle/>
        <a:p>
          <a:pPr>
            <a:defRPr/>
          </a:pPr>
          <a:r>
            <a:rPr lang="en-US"/>
            <a:t>p</a:t>
          </a:r>
          <a:endParaRPr/>
        </a:p>
      </cdr:txBody>
    </cdr:sp>
  </cdr:relSizeAnchor>
  <cdr:relSizeAnchor>
    <cdr:from>
      <cdr:x>0.64514000000000005</cdr:x>
      <cdr:y>0.4919</cdr:y>
    </cdr:from>
    <cdr:to>
      <cdr:x>0.71181000000000005</cdr:x>
      <cdr:y>0.6169</cdr:y>
    </cdr:to>
    <cdr:sp textlink="">
      <cdr:nvSpPr>
        <cdr:cNvPr id="7" name="Oval 6"/>
        <cdr:cNvSpPr/>
      </cdr:nvSpPr>
      <cdr:spPr bwMode="auto">
        <a:xfrm>
          <a:off x="2949575" y="1349375"/>
          <a:ext cx="304800" cy="342900"/>
        </a:xfrm>
        <a:prstGeom prst="ellipse">
          <a:avLst/>
        </a:prstGeom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cdr:style>
      <cdr:txBody>
        <a:bodyPr vertOverflow="clip"/>
        <a:lstStyle/>
        <a:p>
          <a:pPr>
            <a:defRPr/>
          </a:pPr>
          <a:r>
            <a:rPr lang="en-US"/>
            <a:t>t</a:t>
          </a:r>
          <a:endParaRPr/>
        </a:p>
      </cdr:txBody>
    </cdr:sp>
  </cdr:relSizeAnchor>
  <cdr:relSizeAnchor>
    <cdr:from>
      <cdr:x>0.66318999999999995</cdr:x>
      <cdr:y>0.19328999999999999</cdr:y>
    </cdr:from>
    <cdr:to>
      <cdr:x>0.72431000000000001</cdr:x>
      <cdr:y>0.3044</cdr:y>
    </cdr:to>
    <cdr:sp textlink="">
      <cdr:nvSpPr>
        <cdr:cNvPr id="8" name="Oval 7"/>
        <cdr:cNvSpPr/>
      </cdr:nvSpPr>
      <cdr:spPr bwMode="auto">
        <a:xfrm>
          <a:off x="3032125" y="530225"/>
          <a:ext cx="279400" cy="304800"/>
        </a:xfrm>
        <a:prstGeom prst="ellipse">
          <a:avLst/>
        </a:prstGeom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cdr:style>
      <cdr:txBody>
        <a:bodyPr vertOverflow="clip"/>
        <a:lstStyle/>
        <a:p>
          <a:pPr>
            <a:defRPr/>
          </a:pPr>
          <a:r>
            <a:rPr lang="en-US"/>
            <a:t>p</a:t>
          </a:r>
          <a:endParaRPr/>
        </a:p>
      </cdr:txBody>
    </cdr:sp>
  </cdr:relSizeAnchor>
  <cdr:relSizeAnchor>
    <cdr:from>
      <cdr:x>0.75346999999999997</cdr:x>
      <cdr:y>0.40394000000000002</cdr:y>
    </cdr:from>
    <cdr:to>
      <cdr:x>0.81457999999999997</cdr:x>
      <cdr:y>0.51041999999999998</cdr:y>
    </cdr:to>
    <cdr:sp textlink="">
      <cdr:nvSpPr>
        <cdr:cNvPr id="9" name="Oval 8"/>
        <cdr:cNvSpPr/>
      </cdr:nvSpPr>
      <cdr:spPr bwMode="auto">
        <a:xfrm>
          <a:off x="3444875" y="1108075"/>
          <a:ext cx="279400" cy="292100"/>
        </a:xfrm>
        <a:prstGeom prst="ellipse">
          <a:avLst/>
        </a:prstGeom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cdr:style>
      <cdr:txBody>
        <a:bodyPr vertOverflow="clip"/>
        <a:lstStyle/>
        <a:p>
          <a:pPr>
            <a:defRPr/>
          </a:pPr>
          <a:r>
            <a:rPr lang="en-US"/>
            <a:t>t</a:t>
          </a:r>
          <a:endParaRPr/>
        </a:p>
      </cdr:txBody>
    </cdr:sp>
  </cdr:relSizeAnchor>
  <cdr:relSizeAnchor>
    <cdr:from>
      <cdr:x>0.73819000000000001</cdr:x>
      <cdr:y>0</cdr:y>
    </cdr:from>
    <cdr:to>
      <cdr:x>0.81735999999999998</cdr:x>
      <cdr:y>0.10532</cdr:y>
    </cdr:to>
    <cdr:sp textlink="">
      <cdr:nvSpPr>
        <cdr:cNvPr id="10" name="Oval 9"/>
        <cdr:cNvSpPr/>
      </cdr:nvSpPr>
      <cdr:spPr bwMode="auto">
        <a:xfrm>
          <a:off x="3375025" y="0"/>
          <a:ext cx="361950" cy="288924"/>
        </a:xfrm>
        <a:prstGeom prst="ellipse">
          <a:avLst/>
        </a:prstGeom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cdr:style>
      <cdr:txBody>
        <a:bodyPr vertOverflow="clip"/>
        <a:lstStyle/>
        <a:p>
          <a:pPr>
            <a:defRPr/>
          </a:pPr>
          <a:r>
            <a:rPr lang="en-US"/>
            <a:t>p</a:t>
          </a:r>
          <a:endParaRPr/>
        </a:p>
      </cdr:txBody>
    </cdr:sp>
  </cdr:relSizeAnchor>
  <cdr:relSizeAnchor>
    <cdr:from>
      <cdr:x>0.83957999999999999</cdr:x>
      <cdr:y>0.26041999999999998</cdr:y>
    </cdr:from>
    <cdr:to>
      <cdr:x>0.90625</cdr:x>
      <cdr:y>0.36920999999999998</cdr:y>
    </cdr:to>
    <cdr:sp textlink="">
      <cdr:nvSpPr>
        <cdr:cNvPr id="11" name="Oval 10"/>
        <cdr:cNvSpPr/>
      </cdr:nvSpPr>
      <cdr:spPr bwMode="auto">
        <a:xfrm>
          <a:off x="3838575" y="714375"/>
          <a:ext cx="304800" cy="298450"/>
        </a:xfrm>
        <a:prstGeom prst="ellipse">
          <a:avLst/>
        </a:prstGeom>
      </cdr:spPr>
      <c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cdr:style>
      <cdr:txBody>
        <a:bodyPr vertOverflow="clip"/>
        <a:lstStyle/>
        <a:p>
          <a:pPr>
            <a:defRPr/>
          </a:pPr>
          <a:r>
            <a:rPr lang="en-US"/>
            <a:t>t</a:t>
          </a:r>
          <a:endParaRPr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12</xdr:col>
      <xdr:colOff>431800</xdr:colOff>
      <xdr:row>5</xdr:row>
      <xdr:rowOff>152400</xdr:rowOff>
    </xdr:from>
    <xdr:ext cx="308371" cy="264560"/>
    <xdr:sp textlink="">
      <xdr:nvSpPr>
        <xdr:cNvPr id="6" name="TextBox 5"/>
        <xdr:cNvSpPr txBox="1"/>
      </xdr:nvSpPr>
      <xdr:spPr bwMode="auto">
        <a:xfrm>
          <a:off x="7747000" y="1143000"/>
          <a:ext cx="30837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defRPr/>
          </a:pPr>
          <a:endParaRPr lang="en-US" sz="1100"/>
        </a:p>
      </xdr:txBody>
    </xdr:sp>
    <xdr:clientData/>
  </xdr:oneCellAnchor>
  <xdr:twoCellAnchor editAs="twoCell">
    <xdr:from>
      <xdr:col>8</xdr:col>
      <xdr:colOff>492125</xdr:colOff>
      <xdr:row>2</xdr:row>
      <xdr:rowOff>193675</xdr:rowOff>
    </xdr:from>
    <xdr:to>
      <xdr:col>16</xdr:col>
      <xdr:colOff>187325</xdr:colOff>
      <xdr:row>16</xdr:row>
      <xdr:rowOff>92075</xdr:rowOff>
    </xdr:to>
    <xdr:graphicFrame>
      <xdr:nvGraphicFramePr>
        <xdr:cNvPr id="13" name="Chart 1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9</xdr:col>
      <xdr:colOff>419100</xdr:colOff>
      <xdr:row>4</xdr:row>
      <xdr:rowOff>133350</xdr:rowOff>
    </xdr:from>
    <xdr:to>
      <xdr:col>10</xdr:col>
      <xdr:colOff>152400</xdr:colOff>
      <xdr:row>6</xdr:row>
      <xdr:rowOff>57150</xdr:rowOff>
    </xdr:to>
    <xdr:sp textlink="">
      <xdr:nvSpPr>
        <xdr:cNvPr id="16" name="Oval 15"/>
        <xdr:cNvSpPr/>
      </xdr:nvSpPr>
      <xdr:spPr bwMode="auto">
        <a:xfrm>
          <a:off x="5905500" y="920750"/>
          <a:ext cx="342900" cy="330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r>
            <a:rPr lang="en-US" sz="1100"/>
            <a:t>p</a:t>
          </a:r>
          <a:endParaRPr/>
        </a:p>
      </xdr:txBody>
    </xdr:sp>
    <xdr:clientData/>
  </xdr:twoCellAnchor>
  <xdr:twoCellAnchor editAs="twoCell">
    <xdr:from>
      <xdr:col>0</xdr:col>
      <xdr:colOff>136525</xdr:colOff>
      <xdr:row>6</xdr:row>
      <xdr:rowOff>73025</xdr:rowOff>
    </xdr:from>
    <xdr:to>
      <xdr:col>7</xdr:col>
      <xdr:colOff>441325</xdr:colOff>
      <xdr:row>20</xdr:row>
      <xdr:rowOff>9525</xdr:rowOff>
    </xdr:to>
    <xdr:graphicFrame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288925</xdr:colOff>
      <xdr:row>1</xdr:row>
      <xdr:rowOff>180975</xdr:rowOff>
    </xdr:from>
    <xdr:to>
      <xdr:col>17</xdr:col>
      <xdr:colOff>593725</xdr:colOff>
      <xdr:row>15</xdr:row>
      <xdr:rowOff>85725</xdr:rowOff>
    </xdr:to>
    <xdr:graphicFrame>
      <xdr:nvGraphicFramePr>
        <xdr:cNvPr id="13" name="Chart 1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10</xdr:col>
      <xdr:colOff>503704</xdr:colOff>
      <xdr:row>67</xdr:row>
      <xdr:rowOff>2802</xdr:rowOff>
    </xdr:from>
    <xdr:to>
      <xdr:col>18</xdr:col>
      <xdr:colOff>198904</xdr:colOff>
      <xdr:row>81</xdr:row>
      <xdr:rowOff>164167</xdr:rowOff>
    </xdr:to>
    <xdr:graphicFrame>
      <xdr:nvGraphicFramePr>
        <xdr:cNvPr id="16" name="Chart 1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" zoomScale="85" workbookViewId="0">
      <selection activeCell="S45" activeCellId="0" sqref="S45"/>
    </sheetView>
  </sheetViews>
  <sheetFormatPr defaultRowHeight="14.5"/>
  <cols>
    <col customWidth="1" min="3" max="3" width="9.7265625"/>
    <col customWidth="1" min="4" max="4" width="9.4531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100</v>
      </c>
      <c r="B2" s="2">
        <v>100</v>
      </c>
      <c r="C2">
        <f t="shared" ref="C2:C13" si="0">LOG10(A2)</f>
        <v>2</v>
      </c>
      <c r="D2" s="2">
        <f t="shared" ref="D2:D13" si="1">LOG10(B2)</f>
        <v>2</v>
      </c>
      <c r="E2">
        <f t="shared" ref="E2:E13" si="2">(C2-$C$14)*(D2-$D$14)</f>
        <v>-1.6905131706629939</v>
      </c>
      <c r="F2">
        <f t="shared" ref="F2:F13" si="3">(C2-$C$14)^2</f>
        <v>2.2583636968400072</v>
      </c>
      <c r="K2">
        <v>13.6</v>
      </c>
      <c r="L2">
        <v>100</v>
      </c>
    </row>
    <row r="3">
      <c r="A3" s="2">
        <v>500</v>
      </c>
      <c r="B3" s="2">
        <v>86.400000000000006</v>
      </c>
      <c r="C3" s="2">
        <f t="shared" si="0"/>
        <v>2.6989700043360187</v>
      </c>
      <c r="D3" s="2">
        <f t="shared" si="1"/>
        <v>1.9365137424788934</v>
      </c>
      <c r="E3" s="2">
        <f t="shared" si="2"/>
        <v>-0.85319664658133421</v>
      </c>
      <c r="F3" s="2">
        <f t="shared" si="3"/>
        <v>0.64611905037383832</v>
      </c>
      <c r="K3">
        <v>28.899999999999999</v>
      </c>
      <c r="L3">
        <f>100-K2</f>
        <v>86.400000000000006</v>
      </c>
    </row>
    <row r="4">
      <c r="A4" s="2">
        <v>1000</v>
      </c>
      <c r="B4" s="2">
        <v>57.5</v>
      </c>
      <c r="C4" s="2">
        <f t="shared" si="0"/>
        <v>3</v>
      </c>
      <c r="D4" s="2">
        <f t="shared" si="1"/>
        <v>1.7596678446896306</v>
      </c>
      <c r="E4" s="2">
        <f t="shared" si="2"/>
        <v>-0.44475774836421</v>
      </c>
      <c r="F4" s="2">
        <f t="shared" si="3"/>
        <v>0.25279307092551551</v>
      </c>
      <c r="K4">
        <v>32.5</v>
      </c>
      <c r="L4">
        <f>100-K2-K3</f>
        <v>57.500000000000007</v>
      </c>
    </row>
    <row r="5">
      <c r="A5" s="2">
        <v>2000</v>
      </c>
      <c r="B5" s="2">
        <v>25</v>
      </c>
      <c r="C5" s="2">
        <f t="shared" si="0"/>
        <v>3.3010299956639813</v>
      </c>
      <c r="D5" s="2">
        <f t="shared" si="1"/>
        <v>1.3979400086720377</v>
      </c>
      <c r="E5" s="2">
        <f t="shared" si="2"/>
        <v>-0.10548977572742466</v>
      </c>
      <c r="F5" s="2">
        <f t="shared" si="3"/>
        <v>0.040705208056105814</v>
      </c>
      <c r="K5">
        <v>10.6</v>
      </c>
      <c r="L5">
        <f>100-K2-K3-K4</f>
        <v>25.000000000000007</v>
      </c>
    </row>
    <row r="6">
      <c r="A6" s="2">
        <v>3000</v>
      </c>
      <c r="B6" s="2">
        <v>14.4</v>
      </c>
      <c r="C6" s="2">
        <f t="shared" si="0"/>
        <v>3.4771212547196626</v>
      </c>
      <c r="D6" s="2">
        <f t="shared" si="1"/>
        <v>1.1583624920952498</v>
      </c>
      <c r="E6" s="2">
        <f t="shared" si="2"/>
        <v>-0.0072701769473177561</v>
      </c>
      <c r="F6" s="2">
        <f t="shared" si="3"/>
        <v>0.00065864388522205743</v>
      </c>
      <c r="K6">
        <v>5.5999999999999996</v>
      </c>
    </row>
    <row r="7">
      <c r="A7" s="2">
        <v>4000</v>
      </c>
      <c r="B7" s="2">
        <v>8.8000000000000007</v>
      </c>
      <c r="C7" s="2">
        <f t="shared" si="0"/>
        <v>3.6020599913279625</v>
      </c>
      <c r="D7" s="2">
        <f t="shared" si="1"/>
        <v>0.94448267215016868</v>
      </c>
      <c r="E7" s="2">
        <f t="shared" si="2"/>
        <v>0.0068899224338576153</v>
      </c>
      <c r="F7" s="2">
        <f t="shared" si="3"/>
        <v>0.0098554617656092646</v>
      </c>
      <c r="K7">
        <v>3.1000000000000001</v>
      </c>
    </row>
    <row r="8">
      <c r="A8" s="2">
        <v>5000</v>
      </c>
      <c r="B8" s="2">
        <v>5.7000000000000002</v>
      </c>
      <c r="C8" s="2">
        <f t="shared" si="0"/>
        <v>3.6989700043360187</v>
      </c>
      <c r="D8" s="2">
        <f t="shared" si="1"/>
        <v>0.75587485567249146</v>
      </c>
      <c r="E8" s="2">
        <f t="shared" si="2"/>
        <v>-0.023386235362962821</v>
      </c>
      <c r="F8" s="2">
        <f t="shared" si="3"/>
        <v>0.03848843313138442</v>
      </c>
      <c r="K8">
        <v>1.7</v>
      </c>
      <c r="V8" t="s">
        <v>6</v>
      </c>
    </row>
    <row r="9" ht="15">
      <c r="A9" s="2">
        <v>6000</v>
      </c>
      <c r="B9" s="2">
        <v>4</v>
      </c>
      <c r="C9" s="2">
        <f t="shared" si="0"/>
        <v>3.7781512503836434</v>
      </c>
      <c r="D9" s="2">
        <f t="shared" si="1"/>
        <v>0.6020599913279624</v>
      </c>
      <c r="E9" s="2">
        <f t="shared" si="2"/>
        <v>-0.075180425940716458</v>
      </c>
      <c r="F9" s="2">
        <f t="shared" si="3"/>
        <v>0.075826399494718769</v>
      </c>
      <c r="K9">
        <v>1.7</v>
      </c>
    </row>
    <row r="10">
      <c r="A10" s="2">
        <v>8000</v>
      </c>
      <c r="B10" s="2">
        <v>2.2999999999999998</v>
      </c>
      <c r="C10" s="2">
        <f t="shared" si="0"/>
        <v>3.9030899869919438</v>
      </c>
      <c r="D10" s="2">
        <f t="shared" si="1"/>
        <v>0.36172783601759284</v>
      </c>
      <c r="E10" s="2">
        <f t="shared" si="2"/>
        <v>-0.20549729293398306</v>
      </c>
      <c r="F10" s="2">
        <f t="shared" si="3"/>
        <v>0.16024383205402587</v>
      </c>
      <c r="H10" s="1" t="s">
        <v>7</v>
      </c>
      <c r="I10">
        <f>E14/F14</f>
        <v>-1.1309810157097895</v>
      </c>
      <c r="K10">
        <v>0.69999999999999996</v>
      </c>
      <c r="V10" s="3" t="s">
        <v>8</v>
      </c>
      <c r="W10" s="3"/>
    </row>
    <row r="11">
      <c r="A11" s="2">
        <v>10000</v>
      </c>
      <c r="B11" s="2">
        <v>1.6000000000000001</v>
      </c>
      <c r="C11" s="2">
        <f t="shared" si="0"/>
        <v>4</v>
      </c>
      <c r="D11" s="2">
        <f t="shared" si="1"/>
        <v>0.20411998265592479</v>
      </c>
      <c r="E11" s="2">
        <f t="shared" si="2"/>
        <v>-0.33361120269832384</v>
      </c>
      <c r="F11" s="2">
        <f t="shared" si="3"/>
        <v>0.24722244501102408</v>
      </c>
      <c r="H11" s="1" t="s">
        <v>9</v>
      </c>
      <c r="I11">
        <f>D14-C14*I10</f>
        <v>4.8366637466843487</v>
      </c>
      <c r="K11">
        <v>0.80000000000000004</v>
      </c>
      <c r="V11" s="2" t="s">
        <v>10</v>
      </c>
      <c r="W11" s="2">
        <v>0.93881186311658971</v>
      </c>
    </row>
    <row r="12">
      <c r="A12" s="2">
        <v>15000</v>
      </c>
      <c r="B12" s="2">
        <v>0.80000000000000004</v>
      </c>
      <c r="C12" s="2">
        <f t="shared" si="0"/>
        <v>4.1760912590556813</v>
      </c>
      <c r="D12" s="2">
        <f t="shared" si="1"/>
        <v>-0.096910013008056392</v>
      </c>
      <c r="E12" s="2">
        <f t="shared" si="2"/>
        <v>-0.65444669275766754</v>
      </c>
      <c r="F12" s="2">
        <f t="shared" si="3"/>
        <v>0.45334089705150954</v>
      </c>
      <c r="H12" s="1" t="s">
        <v>1</v>
      </c>
      <c r="I12">
        <f>-I10</f>
        <v>1.1309810157097895</v>
      </c>
      <c r="K12">
        <v>0.5</v>
      </c>
      <c r="V12" s="2" t="s">
        <v>11</v>
      </c>
      <c r="W12" s="2">
        <v>0.88136771432844241</v>
      </c>
    </row>
    <row r="13">
      <c r="A13" s="2">
        <v>25000</v>
      </c>
      <c r="B13" s="2">
        <v>0.29999999999999999</v>
      </c>
      <c r="C13" s="2">
        <f t="shared" si="0"/>
        <v>4.3979400086720375</v>
      </c>
      <c r="D13" s="2">
        <f t="shared" si="1"/>
        <v>-0.52287874528033762</v>
      </c>
      <c r="E13" s="2">
        <f t="shared" si="2"/>
        <v>-1.2513893850441111</v>
      </c>
      <c r="F13" s="2">
        <f t="shared" si="3"/>
        <v>0.80130192926024146</v>
      </c>
      <c r="H13" s="1" t="s">
        <v>12</v>
      </c>
      <c r="I13">
        <f>10^I11</f>
        <v>68653.668187223142</v>
      </c>
      <c r="K13">
        <v>0.29999999999999999</v>
      </c>
      <c r="V13" s="2" t="s">
        <v>13</v>
      </c>
      <c r="W13" s="2">
        <v>0.86950448576128669</v>
      </c>
    </row>
    <row r="14">
      <c r="C14" s="1">
        <f>AVERAGE(C2:C13)</f>
        <v>3.5027853129572457</v>
      </c>
      <c r="D14" s="1">
        <f>AVERAGE(D2:D13)</f>
        <v>0.8750800556226298</v>
      </c>
      <c r="E14" s="1">
        <f>SUM(E2:E13)</f>
        <v>-5.6378488305871874</v>
      </c>
      <c r="F14" s="1">
        <f>SUM(F2:F13)</f>
        <v>4.9849190678492024</v>
      </c>
      <c r="H14" s="1" t="s">
        <v>14</v>
      </c>
      <c r="I14">
        <f>1/(2*I12-1)</f>
        <v>0.79241686762564612</v>
      </c>
      <c r="V14" s="2" t="s">
        <v>15</v>
      </c>
      <c r="W14" s="2">
        <v>0.29295927425323043</v>
      </c>
    </row>
    <row r="15" ht="15">
      <c r="V15" s="4" t="s">
        <v>16</v>
      </c>
      <c r="W15" s="4">
        <v>12</v>
      </c>
    </row>
    <row r="17" ht="15">
      <c r="V17" t="s">
        <v>17</v>
      </c>
    </row>
    <row r="18">
      <c r="J18" t="s">
        <v>18</v>
      </c>
      <c r="V18" s="5"/>
      <c r="W18" s="5" t="s">
        <v>19</v>
      </c>
      <c r="X18" s="5" t="s">
        <v>20</v>
      </c>
      <c r="Y18" s="5" t="s">
        <v>21</v>
      </c>
      <c r="Z18" s="5" t="s">
        <v>22</v>
      </c>
      <c r="AA18" s="5" t="s">
        <v>23</v>
      </c>
    </row>
    <row r="19">
      <c r="C19" t="s">
        <v>24</v>
      </c>
      <c r="E19">
        <f t="array" ref="E19:P20">TRANSPOSE(X)</f>
        <v>1</v>
      </c>
      <c r="F19">
        <f/>
        <v>1</v>
      </c>
      <c r="G19">
        <f/>
        <v>1</v>
      </c>
      <c r="H19">
        <f/>
        <v>1</v>
      </c>
      <c r="I19">
        <f/>
        <v>1</v>
      </c>
      <c r="J19">
        <f/>
        <v>1</v>
      </c>
      <c r="K19">
        <f/>
        <v>1</v>
      </c>
      <c r="L19">
        <f/>
        <v>1</v>
      </c>
      <c r="M19">
        <f/>
        <v>1</v>
      </c>
      <c r="N19">
        <f/>
        <v>1</v>
      </c>
      <c r="O19">
        <f/>
        <v>1</v>
      </c>
      <c r="P19">
        <f/>
        <v>1</v>
      </c>
      <c r="V19" s="2" t="s">
        <v>25</v>
      </c>
      <c r="W19" s="2">
        <v>1</v>
      </c>
      <c r="X19" s="2">
        <v>6.3762999968357477</v>
      </c>
      <c r="Y19" s="2">
        <v>6.3762999968357477</v>
      </c>
      <c r="Z19" s="2">
        <v>74.294085234821722</v>
      </c>
      <c r="AA19" s="2">
        <v>6.0921982697378702e-06</v>
      </c>
    </row>
    <row r="20">
      <c r="B20">
        <v>1</v>
      </c>
      <c r="C20">
        <f t="shared" ref="C20:C31" si="4">LOG10(A2)</f>
        <v>2</v>
      </c>
      <c r="E20">
        <f/>
        <v>2</v>
      </c>
      <c r="F20">
        <f/>
        <v>2.6989700043360187</v>
      </c>
      <c r="G20">
        <f/>
        <v>3</v>
      </c>
      <c r="H20">
        <f/>
        <v>3.3010299956639813</v>
      </c>
      <c r="I20">
        <f/>
        <v>3.4771212547196626</v>
      </c>
      <c r="J20">
        <f/>
        <v>3.6020599913279625</v>
      </c>
      <c r="K20">
        <f/>
        <v>3.6989700043360187</v>
      </c>
      <c r="L20">
        <f/>
        <v>3.7781512503836434</v>
      </c>
      <c r="M20">
        <f/>
        <v>3.9030899869919438</v>
      </c>
      <c r="N20">
        <f/>
        <v>4</v>
      </c>
      <c r="O20">
        <f/>
        <v>4.1760912590556813</v>
      </c>
      <c r="P20">
        <f/>
        <v>4.3979400086720375</v>
      </c>
      <c r="V20" s="2" t="s">
        <v>26</v>
      </c>
      <c r="W20" s="2">
        <v>10</v>
      </c>
      <c r="X20" s="2">
        <v>0.85825136370979482</v>
      </c>
      <c r="Y20" s="2">
        <v>0.08582513637097948</v>
      </c>
      <c r="Z20" s="2"/>
      <c r="AA20" s="2"/>
    </row>
    <row r="21" ht="15">
      <c r="B21" s="2">
        <v>1</v>
      </c>
      <c r="C21" s="2">
        <f t="shared" si="4"/>
        <v>2.6989700043360187</v>
      </c>
      <c r="V21" s="4" t="s">
        <v>27</v>
      </c>
      <c r="W21" s="4">
        <v>11</v>
      </c>
      <c r="X21" s="4">
        <v>7.2345513605455425</v>
      </c>
      <c r="Y21" s="4"/>
      <c r="Z21" s="4"/>
      <c r="AA21" s="4"/>
    </row>
    <row r="22" ht="15">
      <c r="B22" s="2">
        <v>1</v>
      </c>
      <c r="C22" s="2">
        <f t="shared" si="4"/>
        <v>3</v>
      </c>
    </row>
    <row r="23">
      <c r="B23" s="2">
        <v>1</v>
      </c>
      <c r="C23" s="2">
        <f t="shared" si="4"/>
        <v>3.3010299956639813</v>
      </c>
      <c r="F23" t="s">
        <v>28</v>
      </c>
      <c r="I23" t="s">
        <v>29</v>
      </c>
      <c r="K23" t="s">
        <v>30</v>
      </c>
      <c r="M23" t="s">
        <v>31</v>
      </c>
      <c r="V23" s="5"/>
      <c r="W23" s="5" t="s">
        <v>32</v>
      </c>
      <c r="X23" s="5" t="s">
        <v>15</v>
      </c>
      <c r="Y23" s="5" t="s">
        <v>33</v>
      </c>
      <c r="Z23" s="5" t="s">
        <v>34</v>
      </c>
      <c r="AA23" s="5" t="s">
        <v>35</v>
      </c>
      <c r="AB23" s="5" t="s">
        <v>36</v>
      </c>
      <c r="AC23" s="5" t="s">
        <v>37</v>
      </c>
      <c r="AD23" s="5" t="s">
        <v>38</v>
      </c>
    </row>
    <row r="24">
      <c r="B24" s="2">
        <v>1</v>
      </c>
      <c r="C24" s="2">
        <f t="shared" si="4"/>
        <v>3.4771212547196626</v>
      </c>
      <c r="E24">
        <f t="array" ref="E24:F25">MMULT(Xt,X)</f>
        <v>12</v>
      </c>
      <c r="F24">
        <f/>
        <v>42.03342375548695</v>
      </c>
      <c r="H24">
        <f t="array" ref="H24:I25">MINVERSE(E24:F25)</f>
        <v>2.5446581375418171</v>
      </c>
      <c r="I24">
        <f/>
        <v>-0.70267646581242971</v>
      </c>
      <c r="K24">
        <f t="array" ref="K24:K25">MMULT(Xt,Y)</f>
        <v>10.500960667471558</v>
      </c>
      <c r="M24">
        <f t="array" ref="M24:M25">MMULT(H24:I25,K24:K25)</f>
        <v>4.8366637466843834</v>
      </c>
      <c r="V24" s="2" t="s">
        <v>39</v>
      </c>
      <c r="W24" s="2">
        <v>4.8366637466843496</v>
      </c>
      <c r="X24" s="2">
        <v>0.46732818411909188</v>
      </c>
      <c r="Y24" s="2">
        <v>10.349608500076673</v>
      </c>
      <c r="Z24" s="2">
        <v>1.1590565666843931e-06</v>
      </c>
      <c r="AA24" s="2">
        <v>3.7953916630204061</v>
      </c>
      <c r="AB24" s="2">
        <v>5.8779358303482931</v>
      </c>
      <c r="AC24" s="2">
        <v>3.7953916630204061</v>
      </c>
      <c r="AD24" s="2">
        <v>5.8779358303482931</v>
      </c>
    </row>
    <row r="25" ht="15">
      <c r="B25" s="2">
        <v>1</v>
      </c>
      <c r="C25" s="2">
        <f t="shared" si="4"/>
        <v>3.6020599913279625</v>
      </c>
      <c r="E25">
        <f/>
        <v>42.03342375548695</v>
      </c>
      <c r="F25">
        <f/>
        <v>152.21897845187706</v>
      </c>
      <c r="H25">
        <f/>
        <v>-0.70267646581242982</v>
      </c>
      <c r="I25">
        <f/>
        <v>0.20060506226663125</v>
      </c>
      <c r="K25">
        <f/>
        <v>31.144761967373903</v>
      </c>
      <c r="M25">
        <f/>
        <v>-1.1309810157097981</v>
      </c>
      <c r="V25" s="4" t="s">
        <v>2</v>
      </c>
      <c r="W25" s="4">
        <v>-1.1309810157097899</v>
      </c>
      <c r="X25" s="4">
        <v>0.13121340185263988</v>
      </c>
      <c r="Y25" s="4">
        <v>-8.6194016749900744</v>
      </c>
      <c r="Z25" s="4">
        <v>6.0921982697378913e-06</v>
      </c>
      <c r="AA25" s="4">
        <v>-1.4233426942789447</v>
      </c>
      <c r="AB25" s="4">
        <v>-0.83861933714063519</v>
      </c>
      <c r="AC25" s="4">
        <v>-1.4233426942789447</v>
      </c>
      <c r="AD25" s="4">
        <v>-0.83861933714063519</v>
      </c>
    </row>
    <row r="26">
      <c r="B26" s="2">
        <v>1</v>
      </c>
      <c r="C26" s="2">
        <f t="shared" si="4"/>
        <v>3.6989700043360187</v>
      </c>
    </row>
    <row r="27">
      <c r="B27" s="2">
        <v>1</v>
      </c>
      <c r="C27" s="2">
        <f t="shared" si="4"/>
        <v>3.7781512503836434</v>
      </c>
      <c r="V27" t="s">
        <v>6</v>
      </c>
    </row>
    <row r="28" ht="15">
      <c r="B28" s="2">
        <v>1</v>
      </c>
      <c r="C28" s="2">
        <f t="shared" si="4"/>
        <v>3.9030899869919438</v>
      </c>
      <c r="F28" s="1" t="s">
        <v>9</v>
      </c>
      <c r="G28">
        <f t="shared" ref="G28:G29" si="5">M24</f>
        <v>4.8366637466843834</v>
      </c>
    </row>
    <row r="29">
      <c r="B29" s="2">
        <v>1</v>
      </c>
      <c r="C29" s="2">
        <f t="shared" si="4"/>
        <v>4</v>
      </c>
      <c r="F29" s="1" t="s">
        <v>7</v>
      </c>
      <c r="G29">
        <f t="shared" si="5"/>
        <v>-1.1309810157097981</v>
      </c>
      <c r="V29" s="3" t="s">
        <v>8</v>
      </c>
      <c r="W29" s="3"/>
    </row>
    <row r="30">
      <c r="B30" s="2">
        <v>1</v>
      </c>
      <c r="C30" s="2">
        <f t="shared" si="4"/>
        <v>4.1760912590556813</v>
      </c>
      <c r="F30" s="1" t="s">
        <v>1</v>
      </c>
      <c r="G30">
        <f>-G29</f>
        <v>1.1309810157097981</v>
      </c>
      <c r="V30" s="2" t="s">
        <v>10</v>
      </c>
      <c r="W30" s="2">
        <v>0.93881186311658971</v>
      </c>
    </row>
    <row r="31">
      <c r="B31" s="2">
        <v>1</v>
      </c>
      <c r="C31" s="2">
        <f t="shared" si="4"/>
        <v>4.3979400086720375</v>
      </c>
      <c r="F31" s="1" t="s">
        <v>12</v>
      </c>
      <c r="G31">
        <f>10^G28</f>
        <v>68653.668187228628</v>
      </c>
      <c r="V31" s="2" t="s">
        <v>11</v>
      </c>
      <c r="W31" s="2">
        <v>0.88136771432844241</v>
      </c>
    </row>
    <row r="32">
      <c r="B32" s="2"/>
      <c r="F32" s="1" t="s">
        <v>14</v>
      </c>
      <c r="G32">
        <f>1/(2*G30-1)</f>
        <v>0.79241686762563524</v>
      </c>
      <c r="V32" s="2" t="s">
        <v>13</v>
      </c>
      <c r="W32" s="2">
        <v>0.86950448576128669</v>
      </c>
    </row>
    <row r="33">
      <c r="B33" s="2"/>
      <c r="V33" s="2" t="s">
        <v>15</v>
      </c>
      <c r="W33" s="2">
        <v>0.29295927425323043</v>
      </c>
    </row>
    <row r="34" ht="15">
      <c r="B34" s="2"/>
      <c r="V34" s="4" t="s">
        <v>16</v>
      </c>
      <c r="W34" s="4">
        <v>12</v>
      </c>
    </row>
    <row r="35">
      <c r="B35" s="2"/>
    </row>
    <row r="36" ht="15">
      <c r="B36" s="2"/>
      <c r="V36" t="s">
        <v>17</v>
      </c>
    </row>
    <row r="37">
      <c r="B37" s="2"/>
      <c r="V37" s="5"/>
      <c r="W37" s="5" t="s">
        <v>19</v>
      </c>
      <c r="X37" s="5" t="s">
        <v>20</v>
      </c>
      <c r="Y37" s="5" t="s">
        <v>21</v>
      </c>
      <c r="Z37" s="5" t="s">
        <v>22</v>
      </c>
      <c r="AA37" s="5" t="s">
        <v>23</v>
      </c>
    </row>
    <row r="38">
      <c r="B38" s="2"/>
      <c r="V38" s="2" t="s">
        <v>25</v>
      </c>
      <c r="W38" s="2">
        <v>1</v>
      </c>
      <c r="X38" s="2">
        <v>6.3762999968357477</v>
      </c>
      <c r="Y38" s="2">
        <v>6.3762999968357477</v>
      </c>
      <c r="Z38" s="2">
        <v>74.294085234821722</v>
      </c>
      <c r="AA38" s="2">
        <v>6.0921982697378702e-06</v>
      </c>
    </row>
    <row r="39">
      <c r="B39" s="2"/>
      <c r="C39" t="s">
        <v>6</v>
      </c>
      <c r="V39" s="2" t="s">
        <v>26</v>
      </c>
      <c r="W39" s="2">
        <v>10</v>
      </c>
      <c r="X39" s="2">
        <v>0.85825136370979482</v>
      </c>
      <c r="Y39" s="2">
        <v>0.08582513637097948</v>
      </c>
      <c r="Z39" s="2"/>
      <c r="AA39" s="2"/>
    </row>
    <row r="40" ht="15">
      <c r="B40" s="2"/>
      <c r="V40" s="4" t="s">
        <v>27</v>
      </c>
      <c r="W40" s="4">
        <v>11</v>
      </c>
      <c r="X40" s="4">
        <v>7.2345513605455425</v>
      </c>
      <c r="Y40" s="4"/>
      <c r="Z40" s="4"/>
      <c r="AA40" s="4"/>
    </row>
    <row r="41" ht="15">
      <c r="B41" s="2"/>
      <c r="C41" s="3" t="s">
        <v>8</v>
      </c>
      <c r="D41" s="3"/>
    </row>
    <row r="42">
      <c r="B42" s="2"/>
      <c r="C42" s="2" t="s">
        <v>10</v>
      </c>
      <c r="D42" s="2">
        <v>0.93881186311658971</v>
      </c>
      <c r="V42" s="5"/>
      <c r="W42" s="5" t="s">
        <v>32</v>
      </c>
      <c r="X42" s="5" t="s">
        <v>15</v>
      </c>
      <c r="Y42" s="5" t="s">
        <v>33</v>
      </c>
      <c r="Z42" s="5" t="s">
        <v>34</v>
      </c>
      <c r="AA42" s="5" t="s">
        <v>35</v>
      </c>
      <c r="AB42" s="5" t="s">
        <v>36</v>
      </c>
      <c r="AC42" s="5" t="s">
        <v>37</v>
      </c>
      <c r="AD42" s="5" t="s">
        <v>38</v>
      </c>
    </row>
    <row r="43">
      <c r="B43" s="2"/>
      <c r="C43" s="2" t="s">
        <v>11</v>
      </c>
      <c r="D43" s="2">
        <v>0.88136771432844241</v>
      </c>
      <c r="V43" s="2" t="s">
        <v>39</v>
      </c>
      <c r="W43" s="2">
        <v>4.8366637466843496</v>
      </c>
      <c r="X43" s="2">
        <v>0.46732818411909188</v>
      </c>
      <c r="Y43" s="2">
        <v>10.349608500076673</v>
      </c>
      <c r="Z43" s="2">
        <v>1.1590565666843931e-06</v>
      </c>
      <c r="AA43" s="2">
        <v>3.7953916630204061</v>
      </c>
      <c r="AB43" s="2">
        <v>5.8779358303482931</v>
      </c>
      <c r="AC43" s="2">
        <v>3.7953916630204061</v>
      </c>
      <c r="AD43" s="2">
        <v>5.8779358303482931</v>
      </c>
    </row>
    <row r="44" ht="15">
      <c r="B44" s="2"/>
      <c r="C44" s="2" t="s">
        <v>13</v>
      </c>
      <c r="D44" s="2">
        <v>0.86950448576128669</v>
      </c>
      <c r="V44" s="4" t="s">
        <v>2</v>
      </c>
      <c r="W44" s="4">
        <v>-1.1309810157097899</v>
      </c>
      <c r="X44" s="4">
        <v>0.13121340185263988</v>
      </c>
      <c r="Y44" s="4">
        <v>-8.6194016749900744</v>
      </c>
      <c r="Z44" s="4">
        <v>6.0921982697378913e-06</v>
      </c>
      <c r="AA44" s="4">
        <v>-1.4233426942789447</v>
      </c>
      <c r="AB44" s="4">
        <v>-0.83861933714063519</v>
      </c>
      <c r="AC44" s="4">
        <v>-1.4233426942789447</v>
      </c>
      <c r="AD44" s="4">
        <v>-0.83861933714063519</v>
      </c>
    </row>
    <row r="45">
      <c r="C45" s="2" t="s">
        <v>15</v>
      </c>
      <c r="D45" s="2">
        <v>0.29295927425323043</v>
      </c>
    </row>
    <row r="46" ht="15">
      <c r="C46" s="4" t="s">
        <v>16</v>
      </c>
      <c r="D46" s="4">
        <v>12</v>
      </c>
    </row>
    <row r="48" ht="15">
      <c r="C48" t="s">
        <v>17</v>
      </c>
    </row>
    <row r="49">
      <c r="C49" s="5"/>
      <c r="D49" s="5" t="s">
        <v>19</v>
      </c>
      <c r="E49" s="5" t="s">
        <v>20</v>
      </c>
      <c r="F49" s="5" t="s">
        <v>21</v>
      </c>
      <c r="G49" s="5" t="s">
        <v>22</v>
      </c>
      <c r="H49" s="5" t="s">
        <v>23</v>
      </c>
    </row>
    <row r="50">
      <c r="C50" s="2" t="s">
        <v>25</v>
      </c>
      <c r="D50" s="2">
        <v>1</v>
      </c>
      <c r="E50" s="2">
        <v>6.3762999968357477</v>
      </c>
      <c r="F50" s="2">
        <v>6.3762999968357477</v>
      </c>
      <c r="G50" s="2">
        <v>74.294085234821722</v>
      </c>
      <c r="H50" s="2">
        <v>6.0921982697378702e-06</v>
      </c>
    </row>
    <row r="51">
      <c r="C51" s="2" t="s">
        <v>26</v>
      </c>
      <c r="D51" s="2">
        <v>10</v>
      </c>
      <c r="E51" s="2">
        <v>0.85825136370979482</v>
      </c>
      <c r="F51" s="2">
        <v>0.08582513637097948</v>
      </c>
      <c r="G51" s="2"/>
      <c r="H51" s="2"/>
    </row>
    <row r="52" ht="15">
      <c r="C52" s="4" t="s">
        <v>27</v>
      </c>
      <c r="D52" s="4">
        <v>11</v>
      </c>
      <c r="E52" s="4">
        <v>7.2345513605455425</v>
      </c>
      <c r="F52" s="4"/>
      <c r="G52" s="4"/>
      <c r="H52" s="4"/>
    </row>
    <row r="53" ht="15"/>
    <row r="54">
      <c r="C54" s="5"/>
      <c r="D54" s="5" t="s">
        <v>32</v>
      </c>
      <c r="E54" s="5" t="s">
        <v>15</v>
      </c>
      <c r="F54" s="5" t="s">
        <v>33</v>
      </c>
      <c r="G54" s="5" t="s">
        <v>34</v>
      </c>
      <c r="H54" s="5" t="s">
        <v>35</v>
      </c>
      <c r="I54" s="5" t="s">
        <v>36</v>
      </c>
      <c r="J54" s="5" t="s">
        <v>37</v>
      </c>
      <c r="K54" s="5" t="s">
        <v>38</v>
      </c>
    </row>
    <row r="55">
      <c r="C55" s="2" t="s">
        <v>39</v>
      </c>
      <c r="D55" s="2">
        <v>4.8366637466843496</v>
      </c>
      <c r="E55" s="2">
        <v>0.46732818411909188</v>
      </c>
      <c r="F55" s="2">
        <v>10.349608500076673</v>
      </c>
      <c r="G55" s="2">
        <v>1.1590565666843931e-06</v>
      </c>
      <c r="H55" s="2">
        <v>3.7953916630204061</v>
      </c>
      <c r="I55" s="2">
        <v>5.8779358303482931</v>
      </c>
      <c r="J55" s="2">
        <v>3.7953916630204061</v>
      </c>
      <c r="K55" s="2">
        <v>5.8779358303482931</v>
      </c>
    </row>
    <row r="56" ht="15">
      <c r="C56" s="4" t="s">
        <v>2</v>
      </c>
      <c r="D56" s="4">
        <v>-1.1309810157097899</v>
      </c>
      <c r="E56" s="4">
        <v>0.13121340185263988</v>
      </c>
      <c r="F56" s="4">
        <v>-8.6194016749900744</v>
      </c>
      <c r="G56" s="4">
        <v>6.0921982697378913e-06</v>
      </c>
      <c r="H56" s="4">
        <v>-1.4233426942789447</v>
      </c>
      <c r="I56" s="4">
        <v>-0.83861933714063519</v>
      </c>
      <c r="J56" s="4">
        <v>-1.4233426942789447</v>
      </c>
      <c r="K56" s="4">
        <v>-0.83861933714063519</v>
      </c>
    </row>
    <row r="61">
      <c r="C61" s="1" t="s">
        <v>9</v>
      </c>
      <c r="D61">
        <f t="shared" ref="D61:D62" si="6">D55</f>
        <v>4.8366637466843496</v>
      </c>
    </row>
    <row r="62">
      <c r="C62" s="1" t="s">
        <v>7</v>
      </c>
      <c r="D62">
        <f t="shared" si="6"/>
        <v>-1.1309810157097899</v>
      </c>
    </row>
    <row r="63">
      <c r="C63" s="1" t="s">
        <v>1</v>
      </c>
      <c r="D63">
        <f>-D62</f>
        <v>1.1309810157097899</v>
      </c>
    </row>
    <row r="64">
      <c r="C64" s="1" t="s">
        <v>12</v>
      </c>
      <c r="D64">
        <f>10^D61</f>
        <v>68653.668187223258</v>
      </c>
    </row>
    <row r="65">
      <c r="C65" s="1" t="s">
        <v>14</v>
      </c>
      <c r="D65">
        <f>1/(2*D63-1)</f>
        <v>0.79241686762564556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15" activeCellId="0" sqref="M15"/>
    </sheetView>
  </sheetViews>
  <sheetFormatPr defaultRowHeight="14.5"/>
  <cols>
    <col bestFit="1" customWidth="1" min="2" max="2" width="9.81640625"/>
    <col customWidth="1" min="3" max="3" width="16.7265625"/>
    <col bestFit="1" customWidth="1" min="4" max="4" width="10.6328125"/>
    <col customWidth="1" min="7" max="7" style="2" width="13.81640625"/>
    <col customWidth="1" min="8" max="8" width="15.1796875"/>
    <col bestFit="1" customWidth="1" min="9" max="9" width="14.90625"/>
    <col customWidth="1" min="12" max="12" width="12.54296875"/>
    <col bestFit="1" customWidth="1" min="13" max="13" width="10.26953125"/>
  </cols>
  <sheetData>
    <row r="1" ht="29">
      <c r="A1" s="6" t="s">
        <v>40</v>
      </c>
      <c r="B1" s="7" t="s">
        <v>41</v>
      </c>
      <c r="C1" s="7" t="s">
        <v>42</v>
      </c>
      <c r="D1" s="8" t="s">
        <v>43</v>
      </c>
      <c r="E1" s="8" t="s">
        <v>44</v>
      </c>
      <c r="G1" s="7" t="s">
        <v>45</v>
      </c>
      <c r="H1" s="7" t="s">
        <v>46</v>
      </c>
      <c r="I1" s="9" t="s">
        <v>47</v>
      </c>
      <c r="J1" s="9" t="s">
        <v>48</v>
      </c>
      <c r="K1" s="9" t="s">
        <v>49</v>
      </c>
      <c r="L1" s="6" t="s">
        <v>50</v>
      </c>
      <c r="M1" s="9" t="s">
        <v>51</v>
      </c>
    </row>
    <row r="2" s="2" customFormat="1">
      <c r="A2" s="10"/>
      <c r="B2" s="11"/>
      <c r="C2" s="11"/>
      <c r="D2" s="12"/>
      <c r="E2" s="12"/>
      <c r="G2" s="13">
        <v>9.5</v>
      </c>
      <c r="H2" s="14">
        <f t="shared" ref="H2:H13" si="7">LN(G2)</f>
        <v>2.2512917986064953</v>
      </c>
      <c r="I2" s="2">
        <f t="shared" ref="I2:I13" si="8">(H2-$E$19)/SQRT($E$20)</f>
        <v>-3.2244343006250111</v>
      </c>
      <c r="J2" s="2">
        <f t="shared" ref="J2:J13" si="9">_xlfn.NORM.S.DIST(I2,1)</f>
        <v>0.00063110907690827199</v>
      </c>
      <c r="L2" s="2"/>
    </row>
    <row r="3">
      <c r="A3" s="15" t="s">
        <v>52</v>
      </c>
      <c r="B3">
        <v>12</v>
      </c>
      <c r="C3">
        <v>3.2999999999999998</v>
      </c>
      <c r="D3">
        <f t="shared" ref="D3:D13" si="10">C3*B3</f>
        <v>39.599999999999994</v>
      </c>
      <c r="E3">
        <f t="shared" ref="E3:E13" si="11">C3*B3^2</f>
        <v>475.19999999999999</v>
      </c>
      <c r="G3" s="2">
        <f t="shared" ref="G3:G13" si="12">G2+5</f>
        <v>14.5</v>
      </c>
      <c r="H3" s="14">
        <f t="shared" si="7"/>
        <v>2.6741486494265287</v>
      </c>
      <c r="I3" s="2">
        <f t="shared" si="8"/>
        <v>-2.102522873023891</v>
      </c>
      <c r="J3" s="2">
        <f t="shared" si="9"/>
        <v>0.0177537490820503</v>
      </c>
      <c r="K3">
        <f t="shared" ref="K3:K13" si="13">J3-J2</f>
        <v>0.017122640005142027</v>
      </c>
      <c r="L3">
        <f t="shared" ref="L3:L13" si="14">$C$14*K3</f>
        <v>1.7122640005142027</v>
      </c>
      <c r="M3">
        <f t="shared" ref="M3:M13" si="15">(C3-L3)^2/L3</f>
        <v>1.4722645592654642</v>
      </c>
    </row>
    <row r="4">
      <c r="A4" t="s">
        <v>53</v>
      </c>
      <c r="B4">
        <f t="shared" ref="B4:B13" si="16">B3+5</f>
        <v>17</v>
      </c>
      <c r="C4">
        <v>9.3900000000000006</v>
      </c>
      <c r="D4" s="2">
        <f t="shared" si="10"/>
        <v>159.63</v>
      </c>
      <c r="E4" s="2">
        <f t="shared" si="11"/>
        <v>2713.71</v>
      </c>
      <c r="G4" s="2">
        <f t="shared" si="12"/>
        <v>19.5</v>
      </c>
      <c r="H4" s="14">
        <f t="shared" si="7"/>
        <v>2.9704144655697009</v>
      </c>
      <c r="I4" s="2">
        <f t="shared" si="8"/>
        <v>-1.3164790757104148</v>
      </c>
      <c r="J4" s="2">
        <f t="shared" si="9"/>
        <v>0.094006648450446331</v>
      </c>
      <c r="K4" s="2">
        <f t="shared" si="13"/>
        <v>0.076252899368396035</v>
      </c>
      <c r="L4" s="2">
        <f t="shared" si="14"/>
        <v>7.6252899368396037</v>
      </c>
      <c r="M4" s="2">
        <f t="shared" si="15"/>
        <v>0.4084043535150208</v>
      </c>
    </row>
    <row r="5">
      <c r="A5" t="s">
        <v>54</v>
      </c>
      <c r="B5" s="2">
        <f t="shared" si="16"/>
        <v>22</v>
      </c>
      <c r="C5">
        <v>13.08</v>
      </c>
      <c r="D5" s="2">
        <f t="shared" si="10"/>
        <v>287.75999999999999</v>
      </c>
      <c r="E5" s="2">
        <f t="shared" si="11"/>
        <v>6330.7200000000003</v>
      </c>
      <c r="G5" s="2">
        <f t="shared" si="12"/>
        <v>24.5</v>
      </c>
      <c r="H5" s="14">
        <f t="shared" si="7"/>
        <v>3.1986731175506815</v>
      </c>
      <c r="I5" s="2">
        <f t="shared" si="8"/>
        <v>-0.71086989707308301</v>
      </c>
      <c r="J5" s="2">
        <f t="shared" si="9"/>
        <v>0.23858243086591852</v>
      </c>
      <c r="K5" s="2">
        <f t="shared" si="13"/>
        <v>0.1445757824154722</v>
      </c>
      <c r="L5" s="2">
        <f t="shared" si="14"/>
        <v>14.457578241547219</v>
      </c>
      <c r="M5" s="2">
        <f t="shared" si="15"/>
        <v>0.13126138969324636</v>
      </c>
    </row>
    <row r="6">
      <c r="A6" t="s">
        <v>55</v>
      </c>
      <c r="B6" s="2">
        <f t="shared" si="16"/>
        <v>27</v>
      </c>
      <c r="C6">
        <v>16.41</v>
      </c>
      <c r="D6" s="2">
        <f t="shared" si="10"/>
        <v>443.06999999999999</v>
      </c>
      <c r="E6" s="2">
        <f t="shared" si="11"/>
        <v>11962.889999999999</v>
      </c>
      <c r="G6" s="2">
        <f t="shared" si="12"/>
        <v>29.5</v>
      </c>
      <c r="H6" s="14">
        <f t="shared" si="7"/>
        <v>3.3843902633457743</v>
      </c>
      <c r="I6" s="2">
        <f t="shared" si="8"/>
        <v>-0.21813059826566106</v>
      </c>
      <c r="J6" s="2">
        <f t="shared" si="9"/>
        <v>0.4136636787021421</v>
      </c>
      <c r="K6" s="2">
        <f t="shared" si="13"/>
        <v>0.17508124783622359</v>
      </c>
      <c r="L6" s="2">
        <f t="shared" si="14"/>
        <v>17.508124783622357</v>
      </c>
      <c r="M6" s="2">
        <f t="shared" si="15"/>
        <v>0.068875339609965738</v>
      </c>
    </row>
    <row r="7">
      <c r="A7" t="s">
        <v>56</v>
      </c>
      <c r="B7" s="2">
        <f t="shared" si="16"/>
        <v>32</v>
      </c>
      <c r="C7">
        <v>13.869999999999999</v>
      </c>
      <c r="D7" s="2">
        <f t="shared" si="10"/>
        <v>443.83999999999997</v>
      </c>
      <c r="E7" s="2">
        <f t="shared" si="11"/>
        <v>14202.879999999999</v>
      </c>
      <c r="G7" s="2">
        <f t="shared" si="12"/>
        <v>34.5</v>
      </c>
      <c r="H7" s="14">
        <f t="shared" si="7"/>
        <v>3.5409593240373143</v>
      </c>
      <c r="I7" s="2">
        <f t="shared" si="8"/>
        <v>0.19727385375626189</v>
      </c>
      <c r="J7" s="2">
        <f t="shared" si="9"/>
        <v>0.5781933805179621</v>
      </c>
      <c r="K7" s="2">
        <f t="shared" si="13"/>
        <v>0.16452970181582</v>
      </c>
      <c r="L7" s="2">
        <f t="shared" si="14"/>
        <v>16.452970181582</v>
      </c>
      <c r="M7" s="2">
        <f t="shared" si="15"/>
        <v>0.40550337630893624</v>
      </c>
    </row>
    <row r="8">
      <c r="A8" t="s">
        <v>57</v>
      </c>
      <c r="B8" s="2">
        <f t="shared" si="16"/>
        <v>37</v>
      </c>
      <c r="C8">
        <v>11.890000000000001</v>
      </c>
      <c r="D8" s="2">
        <f t="shared" si="10"/>
        <v>439.93000000000001</v>
      </c>
      <c r="E8" s="2">
        <f t="shared" si="11"/>
        <v>16277.410000000002</v>
      </c>
      <c r="G8" s="2">
        <f t="shared" si="12"/>
        <v>39.5</v>
      </c>
      <c r="H8" s="14">
        <f t="shared" si="7"/>
        <v>3.6763006719070761</v>
      </c>
      <c r="I8" s="2">
        <f t="shared" si="8"/>
        <v>0.55635755905171502</v>
      </c>
      <c r="J8" s="2">
        <f t="shared" si="9"/>
        <v>0.71101677695527687</v>
      </c>
      <c r="K8" s="2">
        <f t="shared" si="13"/>
        <v>0.13282339643731478</v>
      </c>
      <c r="L8" s="2">
        <f t="shared" si="14"/>
        <v>13.282339643731477</v>
      </c>
      <c r="M8" s="2">
        <f t="shared" si="15"/>
        <v>0.1459539309718835</v>
      </c>
    </row>
    <row r="9">
      <c r="A9" t="s">
        <v>58</v>
      </c>
      <c r="B9" s="2">
        <f t="shared" si="16"/>
        <v>42</v>
      </c>
      <c r="C9">
        <v>9.3000000000000007</v>
      </c>
      <c r="D9" s="2">
        <f t="shared" si="10"/>
        <v>390.60000000000002</v>
      </c>
      <c r="E9" s="2">
        <f t="shared" si="11"/>
        <v>16405.200000000001</v>
      </c>
      <c r="G9" s="2">
        <f t="shared" si="12"/>
        <v>44.5</v>
      </c>
      <c r="H9" s="14">
        <f t="shared" si="7"/>
        <v>3.7954891891721947</v>
      </c>
      <c r="I9" s="2">
        <f t="shared" si="8"/>
        <v>0.87258504667371484</v>
      </c>
      <c r="J9" s="2">
        <f t="shared" si="9"/>
        <v>0.80855535302637238</v>
      </c>
      <c r="K9" s="2">
        <f t="shared" si="13"/>
        <v>0.097538576071095506</v>
      </c>
      <c r="L9" s="2">
        <f t="shared" si="14"/>
        <v>9.7538576071095502</v>
      </c>
      <c r="M9" s="2">
        <f t="shared" si="15"/>
        <v>0.021118488276993426</v>
      </c>
    </row>
    <row r="10">
      <c r="A10" t="s">
        <v>59</v>
      </c>
      <c r="B10" s="2">
        <f t="shared" si="16"/>
        <v>47</v>
      </c>
      <c r="C10">
        <v>6.79</v>
      </c>
      <c r="D10" s="2">
        <f t="shared" si="10"/>
        <v>319.13</v>
      </c>
      <c r="E10" s="2">
        <f t="shared" si="11"/>
        <v>14999.110000000001</v>
      </c>
      <c r="G10" s="2">
        <f t="shared" si="12"/>
        <v>49.5</v>
      </c>
      <c r="H10" s="14">
        <f t="shared" si="7"/>
        <v>3.9019726695746448</v>
      </c>
      <c r="I10" s="2">
        <f t="shared" si="8"/>
        <v>1.1551039021269818</v>
      </c>
      <c r="J10" s="2">
        <f t="shared" si="9"/>
        <v>0.87597605975949677</v>
      </c>
      <c r="K10" s="2">
        <f t="shared" si="13"/>
        <v>0.067420706733124391</v>
      </c>
      <c r="L10" s="2">
        <f t="shared" si="14"/>
        <v>6.7420706733124387</v>
      </c>
      <c r="M10" s="2">
        <f t="shared" si="15"/>
        <v>0.00034072920146272135</v>
      </c>
    </row>
    <row r="11">
      <c r="A11" t="s">
        <v>60</v>
      </c>
      <c r="B11" s="2">
        <f t="shared" si="16"/>
        <v>52</v>
      </c>
      <c r="C11">
        <v>5.8200000000000003</v>
      </c>
      <c r="D11" s="2">
        <f t="shared" si="10"/>
        <v>302.63999999999999</v>
      </c>
      <c r="E11" s="2">
        <f t="shared" si="11"/>
        <v>15737.280000000001</v>
      </c>
      <c r="G11" s="2">
        <f t="shared" si="12"/>
        <v>54.5</v>
      </c>
      <c r="H11" s="14">
        <f t="shared" si="7"/>
        <v>3.9982007016691985</v>
      </c>
      <c r="I11" s="2">
        <f t="shared" si="8"/>
        <v>1.4104133021120711</v>
      </c>
      <c r="J11" s="2">
        <f t="shared" si="9"/>
        <v>0.92079116007419382</v>
      </c>
      <c r="K11" s="2">
        <f t="shared" si="13"/>
        <v>0.044815100314697043</v>
      </c>
      <c r="L11" s="2">
        <f t="shared" si="14"/>
        <v>4.4815100314697043</v>
      </c>
      <c r="M11" s="2">
        <f t="shared" si="15"/>
        <v>0.39976601263317824</v>
      </c>
    </row>
    <row r="12">
      <c r="A12" t="s">
        <v>61</v>
      </c>
      <c r="B12" s="2">
        <f t="shared" si="16"/>
        <v>57</v>
      </c>
      <c r="C12">
        <v>3.3900000000000001</v>
      </c>
      <c r="D12" s="2">
        <f t="shared" si="10"/>
        <v>193.23000000000002</v>
      </c>
      <c r="E12" s="2">
        <f t="shared" si="11"/>
        <v>11014.110000000001</v>
      </c>
      <c r="G12" s="2">
        <f t="shared" si="12"/>
        <v>59.5</v>
      </c>
      <c r="H12" s="14">
        <f t="shared" si="7"/>
        <v>4.0859763125515842</v>
      </c>
      <c r="I12" s="2">
        <f t="shared" si="8"/>
        <v>1.6432969853789858</v>
      </c>
      <c r="J12" s="2">
        <f t="shared" si="9"/>
        <v>0.94983924913020301</v>
      </c>
      <c r="K12" s="2">
        <f t="shared" si="13"/>
        <v>0.029048089056009196</v>
      </c>
      <c r="L12" s="2">
        <f t="shared" si="14"/>
        <v>2.9048089056009196</v>
      </c>
      <c r="M12" s="2">
        <f t="shared" si="15"/>
        <v>0.081041612627346979</v>
      </c>
    </row>
    <row r="13">
      <c r="A13" t="s">
        <v>62</v>
      </c>
      <c r="B13" s="2">
        <f t="shared" si="16"/>
        <v>62</v>
      </c>
      <c r="C13">
        <v>6.7599999999999998</v>
      </c>
      <c r="D13" s="2">
        <f t="shared" si="10"/>
        <v>419.12</v>
      </c>
      <c r="E13" s="2">
        <f t="shared" si="11"/>
        <v>25985.439999999999</v>
      </c>
      <c r="G13" s="2">
        <f t="shared" si="12"/>
        <v>64.5</v>
      </c>
      <c r="H13" s="14">
        <f t="shared" si="7"/>
        <v>4.1666652238017265</v>
      </c>
      <c r="I13" s="2">
        <f t="shared" si="8"/>
        <v>1.857378444474832</v>
      </c>
      <c r="J13" s="2">
        <f t="shared" si="9"/>
        <v>0.96837133449191271</v>
      </c>
      <c r="K13" s="2">
        <f t="shared" si="13"/>
        <v>0.018532085361709694</v>
      </c>
      <c r="L13" s="2">
        <f t="shared" si="14"/>
        <v>1.8532085361709694</v>
      </c>
      <c r="M13" s="2">
        <f t="shared" si="15"/>
        <v>12.991847382298173</v>
      </c>
    </row>
    <row r="14">
      <c r="A14" s="16"/>
      <c r="B14" s="16"/>
      <c r="C14" s="16">
        <f>SUM(C3:C13)</f>
        <v>100</v>
      </c>
      <c r="D14" s="16">
        <f t="shared" ref="D14:E14" si="17">SUM(D3:D13)</f>
        <v>3438.5499999999997</v>
      </c>
      <c r="E14" s="16">
        <f t="shared" si="17"/>
        <v>136103.95000000001</v>
      </c>
      <c r="L14" s="16" t="s">
        <v>63</v>
      </c>
      <c r="M14" s="16">
        <f>SUM(M3:M13)</f>
        <v>16.126377174401672</v>
      </c>
    </row>
    <row r="15">
      <c r="L15" s="17" t="s">
        <v>64</v>
      </c>
      <c r="M15" s="17">
        <f>_xlfn.CHISQ.INV.RT(0.05,8)</f>
        <v>15.507313055865453</v>
      </c>
    </row>
    <row r="17">
      <c r="D17" t="s">
        <v>65</v>
      </c>
      <c r="E17">
        <f>D14/C14</f>
        <v>34.3855</v>
      </c>
    </row>
    <row r="18">
      <c r="D18" t="s">
        <v>66</v>
      </c>
      <c r="E18">
        <f>(E14-D14^2/C14)/(C14-1)</f>
        <v>180.48170681818223</v>
      </c>
    </row>
    <row r="19">
      <c r="D19" t="s">
        <v>67</v>
      </c>
      <c r="E19">
        <f>LN(E17^2/SQRT(E18+E17^2))</f>
        <v>3.4666053255876585</v>
      </c>
    </row>
    <row r="20">
      <c r="D20" t="s">
        <v>68</v>
      </c>
      <c r="E20">
        <f>LN((E18+E17^2)/E17^2)</f>
        <v>0.14205927660557913</v>
      </c>
    </row>
    <row r="21">
      <c r="E21">
        <f>SQRT(E20)</f>
        <v>0.37690751731104954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" zoomScale="100" workbookViewId="0">
      <selection activeCell="G53" activeCellId="0" sqref="G53"/>
    </sheetView>
  </sheetViews>
  <sheetFormatPr defaultRowHeight="14.5"/>
  <cols>
    <col customWidth="1" min="1" max="1" width="10"/>
    <col customWidth="1" min="2" max="2" width="10.26953125"/>
    <col customWidth="1" min="3" max="3" width="29.26953125"/>
    <col customWidth="1" min="5" max="5" width="10.26953125"/>
    <col customWidth="1" min="6" max="6" width="12.7265625"/>
    <col customWidth="1" min="9" max="9" width="10.453125"/>
  </cols>
  <sheetData>
    <row r="1" ht="29">
      <c r="A1" s="17" t="s">
        <v>69</v>
      </c>
      <c r="B1" s="18" t="s">
        <v>70</v>
      </c>
      <c r="C1" s="19" t="s">
        <v>71</v>
      </c>
      <c r="D1" s="20" t="s">
        <v>72</v>
      </c>
      <c r="E1" s="20" t="s">
        <v>73</v>
      </c>
      <c r="F1" s="20" t="s">
        <v>74</v>
      </c>
    </row>
    <row r="2">
      <c r="A2">
        <v>0</v>
      </c>
      <c r="B2">
        <v>0</v>
      </c>
      <c r="C2">
        <f t="shared" ref="C2:C7" si="18">B2*100/2000</f>
        <v>0</v>
      </c>
      <c r="D2">
        <v>0</v>
      </c>
      <c r="E2">
        <v>0</v>
      </c>
      <c r="F2">
        <f t="shared" ref="F2:F7" si="19">E2*100/250</f>
        <v>0</v>
      </c>
    </row>
    <row r="3">
      <c r="A3">
        <v>100</v>
      </c>
      <c r="B3">
        <f t="shared" ref="B3:B7" si="20">B2+A3</f>
        <v>100</v>
      </c>
      <c r="C3" s="2">
        <f t="shared" si="18"/>
        <v>5</v>
      </c>
      <c r="D3">
        <v>80</v>
      </c>
      <c r="E3">
        <f t="shared" ref="E3:E7" si="21">E2+D3</f>
        <v>80</v>
      </c>
      <c r="F3" s="2">
        <f t="shared" si="19"/>
        <v>32</v>
      </c>
    </row>
    <row r="4">
      <c r="A4">
        <v>200</v>
      </c>
      <c r="B4" s="2">
        <f t="shared" si="20"/>
        <v>300</v>
      </c>
      <c r="C4" s="2">
        <f t="shared" si="18"/>
        <v>15</v>
      </c>
      <c r="D4">
        <v>70</v>
      </c>
      <c r="E4" s="2">
        <f t="shared" si="21"/>
        <v>150</v>
      </c>
      <c r="F4" s="2">
        <f t="shared" si="19"/>
        <v>60</v>
      </c>
    </row>
    <row r="5">
      <c r="A5">
        <v>400</v>
      </c>
      <c r="B5" s="2">
        <f t="shared" si="20"/>
        <v>700</v>
      </c>
      <c r="C5" s="2">
        <f t="shared" si="18"/>
        <v>35</v>
      </c>
      <c r="D5">
        <v>50</v>
      </c>
      <c r="E5" s="2">
        <f t="shared" si="21"/>
        <v>200</v>
      </c>
      <c r="F5" s="2">
        <f t="shared" si="19"/>
        <v>80</v>
      </c>
    </row>
    <row r="6">
      <c r="A6">
        <v>500</v>
      </c>
      <c r="B6" s="2">
        <f t="shared" si="20"/>
        <v>1200</v>
      </c>
      <c r="C6" s="2">
        <f t="shared" si="18"/>
        <v>60</v>
      </c>
      <c r="D6">
        <v>30</v>
      </c>
      <c r="E6" s="2">
        <f t="shared" si="21"/>
        <v>230</v>
      </c>
      <c r="F6" s="2">
        <f t="shared" si="19"/>
        <v>92</v>
      </c>
    </row>
    <row r="7">
      <c r="A7">
        <v>800</v>
      </c>
      <c r="B7" s="2">
        <f t="shared" si="20"/>
        <v>2000</v>
      </c>
      <c r="C7" s="2">
        <f t="shared" si="18"/>
        <v>100</v>
      </c>
      <c r="D7">
        <v>20</v>
      </c>
      <c r="E7" s="2">
        <f t="shared" si="21"/>
        <v>250</v>
      </c>
      <c r="F7" s="2">
        <f t="shared" si="19"/>
        <v>100</v>
      </c>
    </row>
    <row r="16">
      <c r="E16" s="21" t="s">
        <v>75</v>
      </c>
      <c r="F16" s="21"/>
      <c r="G16" s="21"/>
      <c r="H16" s="22" t="s">
        <v>76</v>
      </c>
      <c r="I16" s="22"/>
      <c r="J16" s="22"/>
    </row>
    <row r="17" ht="29">
      <c r="A17" s="23" t="s">
        <v>77</v>
      </c>
      <c r="B17" s="24" t="s">
        <v>78</v>
      </c>
      <c r="C17" s="23" t="s">
        <v>79</v>
      </c>
      <c r="D17" s="24" t="s">
        <v>80</v>
      </c>
      <c r="E17" s="25" t="s">
        <v>81</v>
      </c>
      <c r="F17" s="25" t="s">
        <v>73</v>
      </c>
      <c r="G17" s="26" t="s">
        <v>80</v>
      </c>
      <c r="H17" s="27" t="s">
        <v>81</v>
      </c>
      <c r="I17" s="27" t="s">
        <v>73</v>
      </c>
      <c r="J17" s="28" t="s">
        <v>80</v>
      </c>
    </row>
    <row r="18" s="2" customFormat="1">
      <c r="A18" s="29"/>
      <c r="B18" s="12"/>
      <c r="C18" s="29"/>
      <c r="D18" s="30">
        <v>0</v>
      </c>
      <c r="E18" s="29"/>
      <c r="F18" s="29"/>
      <c r="G18" s="30">
        <v>0</v>
      </c>
      <c r="H18" s="29"/>
      <c r="I18" s="29"/>
      <c r="J18" s="30">
        <v>0</v>
      </c>
    </row>
    <row r="19">
      <c r="A19" t="s">
        <v>82</v>
      </c>
      <c r="B19">
        <v>50</v>
      </c>
      <c r="C19">
        <v>50</v>
      </c>
      <c r="D19">
        <f t="shared" ref="D19:D23" si="22">C19*100/1250</f>
        <v>4</v>
      </c>
      <c r="E19">
        <v>8</v>
      </c>
      <c r="F19">
        <v>8</v>
      </c>
      <c r="G19">
        <f t="shared" ref="G19:G23" si="23">F19*100/25</f>
        <v>32</v>
      </c>
      <c r="H19">
        <v>15</v>
      </c>
      <c r="I19">
        <v>15</v>
      </c>
      <c r="J19">
        <f t="shared" ref="J19:J23" si="24">I19*100/25</f>
        <v>60</v>
      </c>
    </row>
    <row r="20">
      <c r="A20" t="s">
        <v>83</v>
      </c>
      <c r="B20">
        <v>150</v>
      </c>
      <c r="C20">
        <f t="shared" ref="C20:C23" si="25">C19+B20</f>
        <v>200</v>
      </c>
      <c r="D20" s="2">
        <f t="shared" si="22"/>
        <v>16</v>
      </c>
      <c r="E20">
        <v>7</v>
      </c>
      <c r="F20">
        <f t="shared" ref="F20:F23" si="26">F19+E20</f>
        <v>15</v>
      </c>
      <c r="G20" s="2">
        <f t="shared" si="23"/>
        <v>60</v>
      </c>
      <c r="H20">
        <v>6</v>
      </c>
      <c r="I20">
        <f t="shared" ref="I20:I23" si="27">I19+H20</f>
        <v>21</v>
      </c>
      <c r="J20" s="2">
        <f t="shared" si="24"/>
        <v>84</v>
      </c>
    </row>
    <row r="21">
      <c r="A21" t="s">
        <v>84</v>
      </c>
      <c r="B21">
        <v>250</v>
      </c>
      <c r="C21" s="2">
        <f t="shared" si="25"/>
        <v>450</v>
      </c>
      <c r="D21" s="2">
        <f t="shared" si="22"/>
        <v>36</v>
      </c>
      <c r="E21">
        <v>5</v>
      </c>
      <c r="F21" s="2">
        <f t="shared" si="26"/>
        <v>20</v>
      </c>
      <c r="G21" s="2">
        <f t="shared" si="23"/>
        <v>80</v>
      </c>
      <c r="H21">
        <v>2</v>
      </c>
      <c r="I21" s="2">
        <f t="shared" si="27"/>
        <v>23</v>
      </c>
      <c r="J21" s="2">
        <f t="shared" si="24"/>
        <v>92</v>
      </c>
    </row>
    <row r="22">
      <c r="A22" t="s">
        <v>85</v>
      </c>
      <c r="B22">
        <v>350</v>
      </c>
      <c r="C22" s="2">
        <f t="shared" si="25"/>
        <v>800</v>
      </c>
      <c r="D22" s="2">
        <f t="shared" si="22"/>
        <v>64</v>
      </c>
      <c r="E22">
        <v>3</v>
      </c>
      <c r="F22" s="2">
        <f t="shared" si="26"/>
        <v>23</v>
      </c>
      <c r="G22" s="2">
        <f t="shared" si="23"/>
        <v>92</v>
      </c>
      <c r="H22">
        <v>1</v>
      </c>
      <c r="I22" s="2">
        <f t="shared" si="27"/>
        <v>24</v>
      </c>
      <c r="J22" s="2">
        <f t="shared" si="24"/>
        <v>96</v>
      </c>
    </row>
    <row r="23">
      <c r="A23" t="s">
        <v>86</v>
      </c>
      <c r="B23">
        <v>450</v>
      </c>
      <c r="C23" s="2">
        <f t="shared" si="25"/>
        <v>1250</v>
      </c>
      <c r="D23" s="2">
        <f t="shared" si="22"/>
        <v>100</v>
      </c>
      <c r="E23">
        <v>2</v>
      </c>
      <c r="F23" s="2">
        <f t="shared" si="26"/>
        <v>25</v>
      </c>
      <c r="G23" s="2">
        <f t="shared" si="23"/>
        <v>100</v>
      </c>
      <c r="H23">
        <v>1</v>
      </c>
      <c r="I23" s="2">
        <f t="shared" si="27"/>
        <v>25</v>
      </c>
      <c r="J23" s="2">
        <f t="shared" si="24"/>
        <v>100</v>
      </c>
    </row>
    <row r="30" ht="15" customHeight="1"/>
    <row r="31" ht="29">
      <c r="A31" s="31" t="s">
        <v>87</v>
      </c>
      <c r="B31" s="31" t="s">
        <v>88</v>
      </c>
      <c r="C31" s="32" t="s">
        <v>89</v>
      </c>
    </row>
    <row r="32">
      <c r="A32">
        <v>0</v>
      </c>
      <c r="B32">
        <v>0</v>
      </c>
    </row>
    <row r="33">
      <c r="A33">
        <v>10</v>
      </c>
      <c r="B33">
        <v>0</v>
      </c>
      <c r="C33">
        <f t="shared" ref="C33:C42" si="28">(B33+B32)/2*(A33-A32)/100</f>
        <v>0</v>
      </c>
    </row>
    <row r="34">
      <c r="A34">
        <v>20</v>
      </c>
      <c r="B34">
        <v>5</v>
      </c>
      <c r="C34" s="2">
        <f t="shared" si="28"/>
        <v>0.25</v>
      </c>
    </row>
    <row r="35">
      <c r="A35" s="2">
        <v>30</v>
      </c>
      <c r="B35">
        <v>10</v>
      </c>
      <c r="C35" s="2">
        <f t="shared" si="28"/>
        <v>0.75</v>
      </c>
    </row>
    <row r="36">
      <c r="A36" s="2">
        <v>40</v>
      </c>
      <c r="B36">
        <v>15</v>
      </c>
      <c r="C36" s="2">
        <f t="shared" si="28"/>
        <v>1.25</v>
      </c>
    </row>
    <row r="37">
      <c r="A37" s="2">
        <v>50</v>
      </c>
      <c r="B37">
        <v>25</v>
      </c>
      <c r="C37" s="2">
        <f t="shared" si="28"/>
        <v>2</v>
      </c>
    </row>
    <row r="38">
      <c r="A38" s="2">
        <v>60</v>
      </c>
      <c r="B38">
        <v>35</v>
      </c>
      <c r="C38" s="2">
        <f t="shared" si="28"/>
        <v>3</v>
      </c>
    </row>
    <row r="39">
      <c r="A39" s="2">
        <v>70</v>
      </c>
      <c r="B39">
        <v>45</v>
      </c>
      <c r="C39" s="2">
        <f t="shared" si="28"/>
        <v>4</v>
      </c>
    </row>
    <row r="40">
      <c r="A40" s="2">
        <v>80</v>
      </c>
      <c r="B40">
        <v>55</v>
      </c>
      <c r="C40" s="2">
        <f t="shared" si="28"/>
        <v>5</v>
      </c>
    </row>
    <row r="41">
      <c r="A41" s="2">
        <v>90</v>
      </c>
      <c r="B41">
        <v>75</v>
      </c>
      <c r="C41" s="2">
        <f t="shared" si="28"/>
        <v>6.5</v>
      </c>
    </row>
    <row r="42">
      <c r="A42" s="2">
        <v>100</v>
      </c>
      <c r="B42">
        <v>100</v>
      </c>
      <c r="C42" s="2">
        <f t="shared" si="28"/>
        <v>8.75</v>
      </c>
    </row>
    <row r="43">
      <c r="B43" s="33" t="s">
        <v>90</v>
      </c>
      <c r="C43" s="33">
        <f>SUM(C33:C42)</f>
        <v>31.5</v>
      </c>
    </row>
    <row r="49">
      <c r="A49" t="s">
        <v>91</v>
      </c>
      <c r="B49" t="s">
        <v>92</v>
      </c>
    </row>
    <row r="50" s="2" customFormat="1"/>
    <row r="51">
      <c r="A51" s="33" t="s">
        <v>93</v>
      </c>
      <c r="B51">
        <f>50-C43</f>
        <v>18.5</v>
      </c>
    </row>
    <row r="52">
      <c r="A52" s="33" t="s">
        <v>94</v>
      </c>
      <c r="B52">
        <f>B51/(B51+C43)</f>
        <v>0.37</v>
      </c>
      <c r="C52">
        <f>B51/50</f>
        <v>0.37</v>
      </c>
    </row>
  </sheetData>
  <mergeCells count="2">
    <mergeCell ref="E16:G16"/>
    <mergeCell ref="H16:J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4" activeCellId="0" sqref="D24"/>
    </sheetView>
  </sheetViews>
  <sheetFormatPr defaultRowHeight="14.5"/>
  <sheetData>
    <row r="1">
      <c r="A1" s="34" t="s">
        <v>95</v>
      </c>
      <c r="B1" s="34" t="s">
        <v>96</v>
      </c>
      <c r="C1" s="34" t="s">
        <v>97</v>
      </c>
      <c r="D1" s="34" t="s">
        <v>98</v>
      </c>
      <c r="E1" s="34" t="s">
        <v>99</v>
      </c>
      <c r="F1" s="34" t="s">
        <v>100</v>
      </c>
      <c r="G1" s="34" t="s">
        <v>101</v>
      </c>
      <c r="H1" s="34" t="s">
        <v>102</v>
      </c>
      <c r="I1" s="34" t="s">
        <v>103</v>
      </c>
    </row>
    <row r="2">
      <c r="A2" s="35">
        <v>136</v>
      </c>
      <c r="B2" s="35">
        <v>54300.099999999999</v>
      </c>
      <c r="C2" s="35">
        <v>29100.799999999999</v>
      </c>
      <c r="D2" s="35">
        <f t="shared" ref="D2:D5" si="29">LN(B2)</f>
        <v>10.902281347540956</v>
      </c>
      <c r="E2" s="35">
        <f t="shared" ref="E2:E5" si="30">LN(C2)</f>
        <v>10.278520944190637</v>
      </c>
      <c r="F2" s="35">
        <f t="shared" ref="F2:F5" si="31">A2*D2*E2</f>
        <v>15240.068495141575</v>
      </c>
      <c r="G2" s="35">
        <f t="shared" ref="G2:G5" si="32">A2*D2</f>
        <v>1482.7102632655701</v>
      </c>
      <c r="H2" s="35">
        <f t="shared" ref="H2:H5" si="33">A2*E2</f>
        <v>1397.8788484099266</v>
      </c>
      <c r="I2" s="35">
        <f t="shared" ref="I2:I5" si="34">A2*D2^2</f>
        <v>16164.924447007765</v>
      </c>
    </row>
    <row r="3">
      <c r="A3" s="35">
        <v>179</v>
      </c>
      <c r="B3" s="35">
        <v>68100.300000000003</v>
      </c>
      <c r="C3" s="35">
        <v>33100.599999999999</v>
      </c>
      <c r="D3" s="35">
        <f t="shared" si="29"/>
        <v>11.128736897414244</v>
      </c>
      <c r="E3" s="35">
        <f t="shared" si="30"/>
        <v>10.407306688089081</v>
      </c>
      <c r="F3" s="35">
        <f t="shared" si="31"/>
        <v>20731.811851697297</v>
      </c>
      <c r="G3" s="35">
        <f t="shared" si="32"/>
        <v>1992.0439046371498</v>
      </c>
      <c r="H3" s="35">
        <f t="shared" si="33"/>
        <v>1862.9078971679455</v>
      </c>
      <c r="I3" s="35">
        <f t="shared" si="34"/>
        <v>22168.93250280459</v>
      </c>
    </row>
    <row r="4">
      <c r="A4" s="35">
        <v>111</v>
      </c>
      <c r="B4" s="35">
        <v>86100.899999999994</v>
      </c>
      <c r="C4" s="35">
        <v>37400.400000000001</v>
      </c>
      <c r="D4" s="35">
        <f t="shared" si="29"/>
        <v>11.363275143322863</v>
      </c>
      <c r="E4" s="35">
        <f t="shared" si="30"/>
        <v>10.529436678532596</v>
      </c>
      <c r="F4" s="35">
        <f t="shared" si="31"/>
        <v>13281.026355142125</v>
      </c>
      <c r="G4" s="35">
        <f t="shared" si="32"/>
        <v>1261.3235409088377</v>
      </c>
      <c r="H4" s="35">
        <f t="shared" si="33"/>
        <v>1168.7674713171182</v>
      </c>
      <c r="I4" s="35">
        <f t="shared" si="34"/>
        <v>14332.766440097375</v>
      </c>
    </row>
    <row r="5">
      <c r="A5" s="35">
        <v>22</v>
      </c>
      <c r="B5" s="35">
        <v>123200</v>
      </c>
      <c r="C5" s="35">
        <v>40700.099999999999</v>
      </c>
      <c r="D5" s="35">
        <f t="shared" si="29"/>
        <v>11.721564330081556</v>
      </c>
      <c r="E5" s="35">
        <f t="shared" si="30"/>
        <v>10.613985828430124</v>
      </c>
      <c r="F5" s="35">
        <f t="shared" si="31"/>
        <v>2737.0753891033892</v>
      </c>
      <c r="G5" s="35">
        <f t="shared" si="32"/>
        <v>257.87441526179424</v>
      </c>
      <c r="H5" s="35">
        <f t="shared" si="33"/>
        <v>233.50768822546274</v>
      </c>
      <c r="I5" s="35">
        <f t="shared" si="34"/>
        <v>3022.6915475732862</v>
      </c>
    </row>
    <row r="6">
      <c r="A6" s="34">
        <f>SUM(A2:A5)</f>
        <v>448</v>
      </c>
      <c r="B6" s="34"/>
      <c r="C6" s="34"/>
      <c r="D6" s="34"/>
      <c r="E6" s="34"/>
      <c r="F6" s="34">
        <f>SUM(F2:F5)</f>
        <v>51989.982091084385</v>
      </c>
      <c r="G6" s="34">
        <f t="shared" ref="G6:I6" si="35">SUM(G2:G5)</f>
        <v>4993.952124073352</v>
      </c>
      <c r="H6" s="34">
        <f t="shared" si="35"/>
        <v>4663.061905120453</v>
      </c>
      <c r="I6" s="34">
        <f t="shared" si="35"/>
        <v>55689.314937483017</v>
      </c>
    </row>
    <row r="9">
      <c r="H9" s="36" t="s">
        <v>104</v>
      </c>
      <c r="I9" s="35">
        <f>(A6*F6-G6*H6)/((A6*I6-G6^2))</f>
        <v>0.47584445659515778</v>
      </c>
    </row>
    <row r="10">
      <c r="H10" s="36" t="s">
        <v>105</v>
      </c>
      <c r="I10" s="35">
        <f>(H6-I9*G6)/A6</f>
        <v>5.1042800678092295</v>
      </c>
    </row>
    <row r="11">
      <c r="H11" s="36" t="s">
        <v>106</v>
      </c>
      <c r="I11" s="35">
        <f>A6/(A6*I6-G6^2)</f>
        <v>0.048404831444691911</v>
      </c>
    </row>
    <row r="12">
      <c r="H12" s="36" t="s">
        <v>107</v>
      </c>
      <c r="I12" s="35">
        <f>SQRT(I11)</f>
        <v>0.220010980282103</v>
      </c>
    </row>
    <row r="13">
      <c r="H13" s="36" t="s">
        <v>108</v>
      </c>
      <c r="I13" s="35">
        <f>I9/I12</f>
        <v>2.1628214009365321</v>
      </c>
    </row>
    <row r="14">
      <c r="H14" s="36" t="s">
        <v>109</v>
      </c>
      <c r="I14" s="35">
        <f>_xlfn.NORM.S.INV(0.025)</f>
        <v>-1.9599639845400538</v>
      </c>
      <c r="J14" s="35">
        <f>_xlfn.NORM.S.INV(0.975)</f>
        <v>1.9599639845400536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100" workbookViewId="0">
      <selection activeCell="B1" activeCellId="0" sqref="B1:C18"/>
    </sheetView>
  </sheetViews>
  <sheetFormatPr defaultRowHeight="14.5"/>
  <cols>
    <col min="1" max="1" style="2" width="8.7265625"/>
  </cols>
  <sheetData>
    <row r="1">
      <c r="B1" s="37" t="s">
        <v>110</v>
      </c>
      <c r="C1" s="37" t="s">
        <v>111</v>
      </c>
    </row>
    <row r="2" ht="15.5">
      <c r="B2" s="38" t="s">
        <v>112</v>
      </c>
      <c r="C2" s="38">
        <v>19.300000000000001</v>
      </c>
    </row>
    <row r="3" ht="16">
      <c r="B3" s="39" t="s">
        <v>113</v>
      </c>
      <c r="C3" s="40">
        <v>20.899999999999999</v>
      </c>
    </row>
    <row r="4" ht="16">
      <c r="B4" s="39" t="s">
        <v>114</v>
      </c>
      <c r="C4" s="40">
        <v>17.800000000000001</v>
      </c>
    </row>
    <row r="5" ht="16">
      <c r="B5" s="39" t="s">
        <v>115</v>
      </c>
      <c r="C5" s="40">
        <v>16.100000000000001</v>
      </c>
    </row>
    <row r="6" ht="16">
      <c r="B6" s="39" t="s">
        <v>116</v>
      </c>
      <c r="C6" s="40">
        <v>17.600000000000001</v>
      </c>
    </row>
    <row r="7" ht="16">
      <c r="B7" s="39" t="s">
        <v>117</v>
      </c>
      <c r="C7" s="40">
        <v>17.800000000000001</v>
      </c>
    </row>
    <row r="8" ht="16">
      <c r="B8" s="39" t="s">
        <v>118</v>
      </c>
      <c r="C8" s="40">
        <v>18.300000000000001</v>
      </c>
    </row>
    <row r="9" ht="16">
      <c r="B9" s="39" t="s">
        <v>119</v>
      </c>
      <c r="C9" s="40">
        <v>17.300000000000001</v>
      </c>
    </row>
    <row r="10" ht="16">
      <c r="B10" s="39" t="s">
        <v>120</v>
      </c>
      <c r="C10" s="40">
        <v>21.399999999999999</v>
      </c>
    </row>
    <row r="11" ht="16">
      <c r="B11" s="39" t="s">
        <v>121</v>
      </c>
      <c r="C11" s="40">
        <v>19.300000000000001</v>
      </c>
    </row>
    <row r="12" ht="16">
      <c r="B12" s="39" t="s">
        <v>122</v>
      </c>
      <c r="C12" s="40">
        <v>18.100000000000001</v>
      </c>
    </row>
    <row r="13" ht="16">
      <c r="B13" s="39" t="s">
        <v>123</v>
      </c>
      <c r="C13" s="40">
        <v>19.5</v>
      </c>
    </row>
    <row r="14" ht="16">
      <c r="B14" s="39" t="s">
        <v>124</v>
      </c>
      <c r="C14" s="40">
        <v>19.199999999999999</v>
      </c>
    </row>
    <row r="15" ht="16">
      <c r="B15" s="39" t="s">
        <v>125</v>
      </c>
      <c r="C15" s="40">
        <v>22.199999999999999</v>
      </c>
    </row>
    <row r="16" ht="16">
      <c r="B16" s="39" t="s">
        <v>126</v>
      </c>
      <c r="C16" s="40">
        <v>20.899999999999999</v>
      </c>
    </row>
    <row r="17" ht="16">
      <c r="B17" s="39" t="s">
        <v>127</v>
      </c>
      <c r="C17" s="40">
        <v>21.5</v>
      </c>
    </row>
    <row r="18" ht="16">
      <c r="B18" s="39" t="s">
        <v>128</v>
      </c>
      <c r="C18" s="40">
        <v>21.899999999999999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88" zoomScale="85" workbookViewId="0">
      <selection activeCell="J100" activeCellId="0" sqref="J100"/>
    </sheetView>
  </sheetViews>
  <sheetFormatPr defaultRowHeight="14.5"/>
  <cols>
    <col bestFit="1" customWidth="1" min="2" max="2" width="8.08984375"/>
    <col customWidth="1" min="3" max="3" width="20.6328125"/>
    <col min="6" max="7" style="2" width="8.7265625"/>
  </cols>
  <sheetData>
    <row r="1">
      <c r="B1" s="37" t="s">
        <v>110</v>
      </c>
      <c r="C1" s="41" t="s">
        <v>111</v>
      </c>
      <c r="D1" s="37" t="s">
        <v>129</v>
      </c>
      <c r="E1" s="42" t="s">
        <v>0</v>
      </c>
      <c r="F1" s="42" t="s">
        <v>130</v>
      </c>
    </row>
    <row r="2" ht="15.5">
      <c r="B2" s="38" t="s">
        <v>112</v>
      </c>
      <c r="C2" s="43">
        <v>19.300000000000001</v>
      </c>
      <c r="D2" s="44">
        <f>AVERAGE(C2:C9)</f>
        <v>18.137499999999999</v>
      </c>
      <c r="E2">
        <v>-8</v>
      </c>
      <c r="F2" s="2">
        <f t="shared" ref="F2:F18" si="36">$I$7+$I$8*E2</f>
        <v>17.286805555555556</v>
      </c>
      <c r="H2" t="s">
        <v>110</v>
      </c>
      <c r="I2" t="s">
        <v>131</v>
      </c>
    </row>
    <row r="3" ht="16">
      <c r="B3" s="39" t="s">
        <v>113</v>
      </c>
      <c r="C3" s="45">
        <v>20.899999999999999</v>
      </c>
      <c r="D3" s="46"/>
      <c r="E3">
        <v>-7</v>
      </c>
      <c r="F3" s="2">
        <f t="shared" si="36"/>
        <v>17.52986111111111</v>
      </c>
      <c r="G3" s="2"/>
      <c r="H3" t="s">
        <v>116</v>
      </c>
      <c r="I3">
        <v>18.137499999999999</v>
      </c>
      <c r="J3" s="2"/>
    </row>
    <row r="4" ht="16">
      <c r="B4" s="39" t="s">
        <v>114</v>
      </c>
      <c r="C4" s="45">
        <v>17.800000000000001</v>
      </c>
      <c r="D4" s="46"/>
      <c r="E4" s="2">
        <v>-6</v>
      </c>
      <c r="F4" s="2">
        <f t="shared" si="36"/>
        <v>17.772916666666667</v>
      </c>
      <c r="G4" s="2"/>
      <c r="H4" t="s">
        <v>125</v>
      </c>
      <c r="I4">
        <v>20.324999999999999</v>
      </c>
      <c r="J4" s="2"/>
    </row>
    <row r="5" ht="16">
      <c r="B5" s="39" t="s">
        <v>115</v>
      </c>
      <c r="C5" s="45">
        <v>16.100000000000001</v>
      </c>
      <c r="D5" s="46"/>
      <c r="E5" s="2">
        <v>-5</v>
      </c>
      <c r="F5" s="2">
        <f t="shared" si="36"/>
        <v>18.015972222222224</v>
      </c>
      <c r="G5" s="2"/>
    </row>
    <row r="6" ht="16">
      <c r="B6" s="39" t="s">
        <v>116</v>
      </c>
      <c r="C6" s="45">
        <v>17.600000000000001</v>
      </c>
      <c r="D6" s="46"/>
      <c r="E6" s="2">
        <v>-4</v>
      </c>
      <c r="F6" s="2">
        <f t="shared" si="36"/>
        <v>18.259027777777778</v>
      </c>
      <c r="G6" s="2"/>
    </row>
    <row r="7" ht="16">
      <c r="B7" s="39" t="s">
        <v>117</v>
      </c>
      <c r="C7" s="45">
        <v>17.800000000000001</v>
      </c>
      <c r="D7" s="46"/>
      <c r="E7" s="2">
        <v>-3</v>
      </c>
      <c r="F7" s="2">
        <f t="shared" si="36"/>
        <v>18.502083333333335</v>
      </c>
      <c r="G7" s="2"/>
      <c r="H7" t="s">
        <v>132</v>
      </c>
      <c r="I7">
        <f>AVERAGE(D2,D11)</f>
        <v>19.231250000000003</v>
      </c>
    </row>
    <row r="8" ht="16">
      <c r="B8" s="39" t="s">
        <v>118</v>
      </c>
      <c r="C8" s="45">
        <v>18.300000000000001</v>
      </c>
      <c r="D8" s="46"/>
      <c r="E8" s="2">
        <v>-2</v>
      </c>
      <c r="F8" s="2">
        <f t="shared" si="36"/>
        <v>18.745138888888892</v>
      </c>
      <c r="G8" s="2"/>
      <c r="H8" t="s">
        <v>133</v>
      </c>
      <c r="I8">
        <f>(D11-D2)/9</f>
        <v>0.24305555555555594</v>
      </c>
    </row>
    <row r="9" ht="16">
      <c r="B9" s="39" t="s">
        <v>119</v>
      </c>
      <c r="C9" s="45">
        <v>17.300000000000001</v>
      </c>
      <c r="D9" s="47"/>
      <c r="E9" s="2">
        <v>-1</v>
      </c>
      <c r="F9" s="2">
        <f t="shared" si="36"/>
        <v>18.988194444444446</v>
      </c>
      <c r="G9" s="2"/>
    </row>
    <row r="10" ht="16">
      <c r="B10" s="39" t="s">
        <v>120</v>
      </c>
      <c r="C10" s="45" t="s">
        <v>134</v>
      </c>
      <c r="D10" s="35"/>
      <c r="E10" s="2">
        <v>0</v>
      </c>
      <c r="F10" s="2">
        <f t="shared" si="36"/>
        <v>19.231250000000003</v>
      </c>
      <c r="G10" s="2"/>
    </row>
    <row r="11" ht="16">
      <c r="B11" s="39" t="s">
        <v>121</v>
      </c>
      <c r="C11" s="45">
        <v>19.300000000000001</v>
      </c>
      <c r="D11" s="44">
        <f>AVERAGE(C11:C18)</f>
        <v>20.325000000000003</v>
      </c>
      <c r="E11" s="2">
        <v>1</v>
      </c>
      <c r="F11" s="2">
        <f t="shared" si="36"/>
        <v>19.47430555555556</v>
      </c>
      <c r="G11" s="2"/>
    </row>
    <row r="12" ht="16">
      <c r="B12" s="39" t="s">
        <v>122</v>
      </c>
      <c r="C12" s="45">
        <v>18.100000000000001</v>
      </c>
      <c r="D12" s="48"/>
      <c r="E12" s="2">
        <v>2</v>
      </c>
      <c r="F12" s="2">
        <f t="shared" si="36"/>
        <v>19.717361111111114</v>
      </c>
      <c r="G12" s="2"/>
    </row>
    <row r="13" ht="16">
      <c r="B13" s="39" t="s">
        <v>123</v>
      </c>
      <c r="C13" s="45">
        <v>19.5</v>
      </c>
      <c r="D13" s="48"/>
      <c r="E13" s="2">
        <v>3</v>
      </c>
      <c r="F13" s="2">
        <f t="shared" si="36"/>
        <v>19.960416666666671</v>
      </c>
      <c r="G13" s="2"/>
    </row>
    <row r="14" ht="16">
      <c r="B14" s="39" t="s">
        <v>124</v>
      </c>
      <c r="C14" s="45">
        <v>19.199999999999999</v>
      </c>
      <c r="D14" s="48"/>
      <c r="E14" s="2">
        <v>4</v>
      </c>
      <c r="F14" s="2">
        <f t="shared" si="36"/>
        <v>20.203472222222228</v>
      </c>
      <c r="G14" s="2"/>
    </row>
    <row r="15" ht="16">
      <c r="B15" s="39" t="s">
        <v>125</v>
      </c>
      <c r="C15" s="45">
        <v>22.199999999999999</v>
      </c>
      <c r="D15" s="48"/>
      <c r="E15" s="2">
        <v>5</v>
      </c>
      <c r="F15" s="2">
        <f t="shared" si="36"/>
        <v>20.446527777777781</v>
      </c>
      <c r="G15" s="2"/>
    </row>
    <row r="16" ht="16">
      <c r="B16" s="39" t="s">
        <v>126</v>
      </c>
      <c r="C16" s="45">
        <v>20.899999999999999</v>
      </c>
      <c r="D16" s="48"/>
      <c r="E16" s="2">
        <v>6</v>
      </c>
      <c r="F16" s="2">
        <f t="shared" si="36"/>
        <v>20.689583333333339</v>
      </c>
      <c r="G16" s="2"/>
    </row>
    <row r="17" ht="16">
      <c r="B17" s="39" t="s">
        <v>127</v>
      </c>
      <c r="C17" s="45">
        <v>21.5</v>
      </c>
      <c r="D17" s="48"/>
      <c r="E17" s="2">
        <v>7</v>
      </c>
      <c r="F17" s="2">
        <f t="shared" si="36"/>
        <v>20.932638888888896</v>
      </c>
      <c r="G17" s="2"/>
    </row>
    <row r="18" ht="16">
      <c r="B18" s="39" t="s">
        <v>128</v>
      </c>
      <c r="C18" s="45">
        <v>21.899999999999999</v>
      </c>
      <c r="D18" s="49"/>
      <c r="E18" s="2">
        <v>8</v>
      </c>
      <c r="F18" s="2">
        <f t="shared" si="36"/>
        <v>21.175694444444449</v>
      </c>
      <c r="G18" s="2"/>
    </row>
    <row r="25" ht="40" customHeight="1">
      <c r="B25" s="50" t="s">
        <v>135</v>
      </c>
      <c r="C25" s="50" t="s">
        <v>136</v>
      </c>
      <c r="D25" s="51" t="s">
        <v>137</v>
      </c>
      <c r="E25" s="52" t="s">
        <v>138</v>
      </c>
      <c r="F25" s="14"/>
      <c r="G25" s="14"/>
    </row>
    <row r="26">
      <c r="B26" s="53" t="s">
        <v>112</v>
      </c>
      <c r="C26" s="2">
        <v>19.300000000000001</v>
      </c>
      <c r="D26" s="54"/>
      <c r="E26" s="54" t="s">
        <v>139</v>
      </c>
      <c r="F26" s="54"/>
      <c r="G26" s="54"/>
    </row>
    <row r="27">
      <c r="B27" s="2"/>
      <c r="C27" s="2"/>
      <c r="D27" s="54">
        <f>AVERAGE(C26,C28)</f>
        <v>20.100000000000001</v>
      </c>
      <c r="E27" s="54"/>
      <c r="F27" s="54"/>
      <c r="G27" s="54"/>
    </row>
    <row r="28">
      <c r="B28" s="53" t="s">
        <v>113</v>
      </c>
      <c r="C28" s="2">
        <v>20.899999999999999</v>
      </c>
      <c r="D28" s="54"/>
      <c r="E28" s="54">
        <f>AVERAGE(D27,D29)</f>
        <v>19.725000000000001</v>
      </c>
      <c r="F28" s="54"/>
      <c r="G28" s="54"/>
    </row>
    <row r="29">
      <c r="B29" s="2"/>
      <c r="C29" s="2"/>
      <c r="D29" s="54">
        <f>AVERAGE(C28,C30)</f>
        <v>19.350000000000001</v>
      </c>
      <c r="E29" s="54"/>
      <c r="F29" s="54"/>
      <c r="G29" s="54"/>
    </row>
    <row r="30">
      <c r="B30" s="53" t="s">
        <v>114</v>
      </c>
      <c r="C30" s="2">
        <v>17.800000000000001</v>
      </c>
      <c r="D30" s="54"/>
      <c r="E30" s="54">
        <f>AVERAGE(D29,D31)</f>
        <v>18.150000000000002</v>
      </c>
      <c r="F30" s="54"/>
      <c r="G30" s="54"/>
    </row>
    <row r="31">
      <c r="B31" s="2"/>
      <c r="C31" s="2"/>
      <c r="D31" s="54">
        <f>AVERAGE(C30,C32)</f>
        <v>16.950000000000003</v>
      </c>
      <c r="E31" s="54"/>
      <c r="F31" s="54"/>
      <c r="G31" s="54"/>
    </row>
    <row r="32">
      <c r="B32" s="53" t="s">
        <v>115</v>
      </c>
      <c r="C32" s="2">
        <v>16.100000000000001</v>
      </c>
      <c r="D32" s="54"/>
      <c r="E32" s="54">
        <f>AVERAGE(D31,D33)</f>
        <v>16.900000000000002</v>
      </c>
      <c r="F32" s="54"/>
      <c r="G32" s="54"/>
    </row>
    <row r="33">
      <c r="B33" s="2"/>
      <c r="C33" s="2"/>
      <c r="D33" s="54">
        <f>AVERAGE(C32,C34)</f>
        <v>16.850000000000001</v>
      </c>
      <c r="E33" s="54"/>
      <c r="F33" s="54"/>
      <c r="G33" s="54"/>
    </row>
    <row r="34">
      <c r="B34" s="53" t="s">
        <v>116</v>
      </c>
      <c r="C34" s="2">
        <v>17.600000000000001</v>
      </c>
      <c r="D34" s="54"/>
      <c r="E34" s="54">
        <f>AVERAGE(D33,D35)</f>
        <v>17.275000000000002</v>
      </c>
      <c r="F34" s="54"/>
      <c r="G34" s="54"/>
    </row>
    <row r="35">
      <c r="B35" s="2"/>
      <c r="C35" s="2"/>
      <c r="D35" s="54">
        <f>AVERAGE(C34,C36)</f>
        <v>17.700000000000003</v>
      </c>
      <c r="E35" s="54"/>
      <c r="F35" s="54"/>
      <c r="G35" s="54"/>
    </row>
    <row r="36">
      <c r="B36" s="53" t="s">
        <v>117</v>
      </c>
      <c r="C36" s="2">
        <v>17.800000000000001</v>
      </c>
      <c r="D36" s="54"/>
      <c r="E36" s="54">
        <f>AVERAGE(D35,D37)</f>
        <v>17.875</v>
      </c>
      <c r="F36" s="54"/>
      <c r="G36" s="54"/>
    </row>
    <row r="37">
      <c r="B37" s="2"/>
      <c r="C37" s="2"/>
      <c r="D37" s="54">
        <f>AVERAGE(C36,C38)</f>
        <v>18.050000000000001</v>
      </c>
      <c r="E37" s="54"/>
      <c r="F37" s="54"/>
      <c r="G37" s="54"/>
    </row>
    <row r="38">
      <c r="B38" s="53" t="s">
        <v>118</v>
      </c>
      <c r="C38" s="2">
        <v>18.300000000000001</v>
      </c>
      <c r="D38" s="54"/>
      <c r="E38" s="54">
        <f>AVERAGE(D37,D39)</f>
        <v>17.925000000000001</v>
      </c>
      <c r="F38" s="54"/>
      <c r="G38" s="54"/>
    </row>
    <row r="39">
      <c r="B39" s="2"/>
      <c r="C39" s="2"/>
      <c r="D39" s="54">
        <f>AVERAGE(C38,C40)</f>
        <v>17.800000000000001</v>
      </c>
      <c r="E39" s="54"/>
      <c r="F39" s="54"/>
      <c r="G39" s="54"/>
    </row>
    <row r="40">
      <c r="B40" s="53" t="s">
        <v>119</v>
      </c>
      <c r="C40" s="2">
        <v>17.300000000000001</v>
      </c>
      <c r="D40" s="54"/>
      <c r="E40" s="54">
        <f>AVERAGE(D39,D41)</f>
        <v>18.575000000000003</v>
      </c>
      <c r="F40" s="54"/>
      <c r="G40" s="54"/>
    </row>
    <row r="41">
      <c r="B41" s="2"/>
      <c r="C41" s="2"/>
      <c r="D41" s="54">
        <f>AVERAGE(C40,C42)</f>
        <v>19.350000000000001</v>
      </c>
      <c r="E41" s="54"/>
      <c r="F41" s="54"/>
      <c r="G41" s="54"/>
    </row>
    <row r="42">
      <c r="B42" s="53" t="s">
        <v>120</v>
      </c>
      <c r="C42" s="2">
        <v>21.399999999999999</v>
      </c>
      <c r="D42" s="54"/>
      <c r="E42" s="54">
        <f>AVERAGE(D41,D43)</f>
        <v>19.850000000000001</v>
      </c>
      <c r="F42" s="54"/>
      <c r="G42" s="54"/>
    </row>
    <row r="43">
      <c r="B43" s="2"/>
      <c r="C43" s="2"/>
      <c r="D43" s="54">
        <f>AVERAGE(C42,C44)</f>
        <v>20.350000000000001</v>
      </c>
      <c r="E43" s="54"/>
      <c r="F43" s="54"/>
      <c r="G43" s="54"/>
    </row>
    <row r="44">
      <c r="B44" s="53" t="s">
        <v>121</v>
      </c>
      <c r="C44" s="2">
        <v>19.300000000000001</v>
      </c>
      <c r="D44" s="54"/>
      <c r="E44" s="54">
        <f>AVERAGE(D43,D45)</f>
        <v>19.525000000000002</v>
      </c>
      <c r="F44" s="54"/>
      <c r="G44" s="54"/>
    </row>
    <row r="45">
      <c r="B45" s="2"/>
      <c r="C45" s="2"/>
      <c r="D45" s="54">
        <f>AVERAGE(C44,C46)</f>
        <v>18.700000000000003</v>
      </c>
      <c r="E45" s="54"/>
      <c r="F45" s="54"/>
      <c r="G45" s="54"/>
    </row>
    <row r="46">
      <c r="B46" s="53" t="s">
        <v>122</v>
      </c>
      <c r="C46" s="2">
        <v>18.100000000000001</v>
      </c>
      <c r="D46" s="54"/>
      <c r="E46" s="54">
        <f>AVERAGE(D45,D47)</f>
        <v>18.75</v>
      </c>
      <c r="F46" s="54"/>
      <c r="G46" s="54"/>
    </row>
    <row r="47">
      <c r="B47" s="2"/>
      <c r="C47" s="2"/>
      <c r="D47" s="54">
        <f>AVERAGE(C46,C48)</f>
        <v>18.800000000000001</v>
      </c>
      <c r="E47" s="54"/>
      <c r="F47" s="54"/>
      <c r="G47" s="54"/>
    </row>
    <row r="48">
      <c r="B48" s="53" t="s">
        <v>123</v>
      </c>
      <c r="C48" s="2">
        <v>19.5</v>
      </c>
      <c r="D48" s="54"/>
      <c r="E48" s="54">
        <f>AVERAGE(D47,D49)</f>
        <v>19.075000000000003</v>
      </c>
      <c r="F48" s="54"/>
      <c r="G48" s="54"/>
    </row>
    <row r="49">
      <c r="B49" s="2"/>
      <c r="C49" s="2"/>
      <c r="D49" s="54">
        <f>AVERAGE(C48,C50)</f>
        <v>19.350000000000001</v>
      </c>
      <c r="E49" s="54"/>
      <c r="F49" s="54"/>
      <c r="G49" s="54"/>
    </row>
    <row r="50">
      <c r="B50" s="53" t="s">
        <v>124</v>
      </c>
      <c r="C50" s="2">
        <v>19.199999999999999</v>
      </c>
      <c r="D50" s="54"/>
      <c r="E50" s="54">
        <f>AVERAGE(D49,D51)</f>
        <v>20.024999999999999</v>
      </c>
      <c r="F50" s="54"/>
      <c r="G50" s="54"/>
    </row>
    <row r="51">
      <c r="B51" s="2"/>
      <c r="C51" s="2"/>
      <c r="D51" s="54">
        <f>AVERAGE(C50,C52)</f>
        <v>20.699999999999999</v>
      </c>
      <c r="E51" s="54"/>
      <c r="F51" s="54"/>
      <c r="G51" s="54"/>
    </row>
    <row r="52">
      <c r="B52" s="53" t="s">
        <v>125</v>
      </c>
      <c r="C52" s="2">
        <v>22.199999999999999</v>
      </c>
      <c r="D52" s="54"/>
      <c r="E52" s="54">
        <f>AVERAGE(D51,D53)</f>
        <v>21.125</v>
      </c>
      <c r="F52" s="54"/>
      <c r="G52" s="54"/>
      <c r="U52" t="s">
        <v>6</v>
      </c>
    </row>
    <row r="53" ht="15">
      <c r="B53" s="2"/>
      <c r="C53" s="2"/>
      <c r="D53" s="54">
        <f>AVERAGE(C52,C54)</f>
        <v>21.549999999999997</v>
      </c>
      <c r="E53" s="54"/>
      <c r="F53" s="54"/>
      <c r="G53" s="54"/>
    </row>
    <row r="54">
      <c r="B54" s="53" t="s">
        <v>126</v>
      </c>
      <c r="C54" s="2">
        <v>20.899999999999999</v>
      </c>
      <c r="D54" s="54"/>
      <c r="E54" s="54">
        <f>AVERAGE(D53,D55)</f>
        <v>21.375</v>
      </c>
      <c r="F54" s="54"/>
      <c r="G54" s="54"/>
      <c r="U54" s="3" t="s">
        <v>8</v>
      </c>
      <c r="V54" s="3"/>
    </row>
    <row r="55">
      <c r="B55" s="2"/>
      <c r="C55" s="2"/>
      <c r="D55" s="54">
        <f>AVERAGE(C54,C56)</f>
        <v>21.199999999999999</v>
      </c>
      <c r="E55" s="54"/>
      <c r="F55" s="54"/>
      <c r="G55" s="54"/>
      <c r="U55" s="2" t="s">
        <v>10</v>
      </c>
      <c r="V55" s="2">
        <v>0.58965670654152469</v>
      </c>
    </row>
    <row r="56">
      <c r="B56" s="53" t="s">
        <v>127</v>
      </c>
      <c r="C56" s="2">
        <v>21.5</v>
      </c>
      <c r="D56" s="54"/>
      <c r="E56" s="54">
        <f>AVERAGE(D55,D57)</f>
        <v>21.449999999999999</v>
      </c>
      <c r="F56" s="54"/>
      <c r="G56" s="54"/>
      <c r="U56" s="2" t="s">
        <v>11</v>
      </c>
      <c r="V56" s="2">
        <v>0.34769503156939774</v>
      </c>
    </row>
    <row r="57">
      <c r="B57" s="2"/>
      <c r="C57" s="2"/>
      <c r="D57" s="54">
        <f>AVERAGE(C56,C58)</f>
        <v>21.699999999999999</v>
      </c>
      <c r="E57" s="54"/>
      <c r="F57" s="54"/>
      <c r="G57" s="54"/>
      <c r="U57" s="2" t="s">
        <v>13</v>
      </c>
      <c r="V57" s="2">
        <v>0.30420803367402427</v>
      </c>
    </row>
    <row r="58">
      <c r="B58" s="53" t="s">
        <v>128</v>
      </c>
      <c r="C58" s="2">
        <v>21.899999999999999</v>
      </c>
      <c r="D58" s="55"/>
      <c r="E58" s="54" t="s">
        <v>139</v>
      </c>
      <c r="F58" s="54"/>
      <c r="G58" s="54"/>
      <c r="U58" s="2" t="s">
        <v>15</v>
      </c>
      <c r="V58" s="2">
        <v>1.5267462946953598</v>
      </c>
    </row>
    <row r="59" ht="15">
      <c r="U59" s="4" t="s">
        <v>16</v>
      </c>
      <c r="V59" s="4">
        <v>17</v>
      </c>
    </row>
    <row r="61" ht="15">
      <c r="U61" t="s">
        <v>17</v>
      </c>
    </row>
    <row r="62">
      <c r="U62" s="5"/>
      <c r="V62" s="5" t="s">
        <v>19</v>
      </c>
      <c r="W62" s="5" t="s">
        <v>20</v>
      </c>
      <c r="X62" s="5" t="s">
        <v>21</v>
      </c>
      <c r="Y62" s="5" t="s">
        <v>22</v>
      </c>
      <c r="Z62" s="5" t="s">
        <v>23</v>
      </c>
    </row>
    <row r="63">
      <c r="U63" s="2" t="s">
        <v>25</v>
      </c>
      <c r="V63" s="2">
        <v>1</v>
      </c>
      <c r="W63" s="2">
        <v>18.636862745098014</v>
      </c>
      <c r="X63" s="2">
        <v>18.636862745098014</v>
      </c>
      <c r="Y63" s="2">
        <v>7.9953790419363138</v>
      </c>
      <c r="Z63" s="2">
        <v>0.012729902387025024</v>
      </c>
    </row>
    <row r="64">
      <c r="U64" s="2" t="s">
        <v>26</v>
      </c>
      <c r="V64" s="2">
        <v>15</v>
      </c>
      <c r="W64" s="2">
        <v>34.964313725490157</v>
      </c>
      <c r="X64" s="2">
        <v>2.3309542483660106</v>
      </c>
      <c r="Y64" s="2"/>
      <c r="Z64" s="2"/>
    </row>
    <row r="65" ht="15">
      <c r="B65" s="50" t="s">
        <v>135</v>
      </c>
      <c r="C65" s="50" t="s">
        <v>140</v>
      </c>
      <c r="D65" s="56" t="s">
        <v>0</v>
      </c>
      <c r="E65" s="37" t="s">
        <v>141</v>
      </c>
      <c r="U65" s="4" t="s">
        <v>27</v>
      </c>
      <c r="V65" s="4">
        <v>16</v>
      </c>
      <c r="W65" s="4">
        <v>53.601176470588172</v>
      </c>
      <c r="X65" s="4"/>
      <c r="Y65" s="4"/>
      <c r="Z65" s="4"/>
    </row>
    <row r="66" ht="15">
      <c r="B66" s="53" t="s">
        <v>112</v>
      </c>
      <c r="C66" s="54">
        <v>19.300000000000001</v>
      </c>
      <c r="D66" s="54">
        <v>0</v>
      </c>
      <c r="E66">
        <f t="shared" ref="E66:E82" si="37">$J$73+$J$74*D66</f>
        <v>17.649019607843137</v>
      </c>
    </row>
    <row r="67">
      <c r="B67" s="53" t="s">
        <v>113</v>
      </c>
      <c r="C67" s="54">
        <v>20.899999999999999</v>
      </c>
      <c r="D67" s="54">
        <v>1</v>
      </c>
      <c r="E67" s="2">
        <f t="shared" si="37"/>
        <v>17.862745098039216</v>
      </c>
      <c r="U67" s="5"/>
      <c r="V67" s="5" t="s">
        <v>32</v>
      </c>
      <c r="W67" s="5" t="s">
        <v>15</v>
      </c>
      <c r="X67" s="5" t="s">
        <v>33</v>
      </c>
      <c r="Y67" s="5" t="s">
        <v>34</v>
      </c>
      <c r="Z67" s="5" t="s">
        <v>35</v>
      </c>
      <c r="AA67" s="5" t="s">
        <v>36</v>
      </c>
      <c r="AB67" s="5" t="s">
        <v>37</v>
      </c>
      <c r="AC67" s="5" t="s">
        <v>38</v>
      </c>
    </row>
    <row r="68">
      <c r="B68" s="53" t="s">
        <v>114</v>
      </c>
      <c r="C68" s="54">
        <v>17.800000000000001</v>
      </c>
      <c r="D68" s="54">
        <v>2</v>
      </c>
      <c r="E68" s="2">
        <f t="shared" si="37"/>
        <v>18.076470588235292</v>
      </c>
      <c r="U68" s="2" t="s">
        <v>39</v>
      </c>
      <c r="V68" s="2">
        <v>17.649019607843137</v>
      </c>
      <c r="W68" s="2">
        <v>0.70905206993764913</v>
      </c>
      <c r="X68" s="2">
        <v>24.891006395898557</v>
      </c>
      <c r="Y68" s="2">
        <v>1.298277517518579e-13</v>
      </c>
      <c r="Z68" s="2">
        <v>16.137710895596317</v>
      </c>
      <c r="AA68" s="2">
        <v>19.160328320089956</v>
      </c>
      <c r="AB68" s="2">
        <v>16.137710895596317</v>
      </c>
      <c r="AC68" s="2">
        <v>19.160328320089956</v>
      </c>
    </row>
    <row r="69" ht="15">
      <c r="B69" s="53" t="s">
        <v>115</v>
      </c>
      <c r="C69" s="54">
        <v>16.100000000000001</v>
      </c>
      <c r="D69" s="54">
        <v>3</v>
      </c>
      <c r="E69" s="2">
        <f t="shared" si="37"/>
        <v>18.290196078431372</v>
      </c>
      <c r="U69" s="4" t="s">
        <v>0</v>
      </c>
      <c r="V69" s="4">
        <v>0.21372549019607825</v>
      </c>
      <c r="W69" s="4">
        <v>0.075585204622067595</v>
      </c>
      <c r="X69" s="4">
        <v>2.8276101290553322</v>
      </c>
      <c r="Y69" s="4">
        <v>0.012729902387025043</v>
      </c>
      <c r="Z69" s="4">
        <v>0.052619440153329727</v>
      </c>
      <c r="AA69" s="4">
        <v>0.37483154023882681</v>
      </c>
      <c r="AB69" s="4">
        <v>0.052619440153329727</v>
      </c>
      <c r="AC69" s="4">
        <v>0.37483154023882681</v>
      </c>
    </row>
    <row r="70">
      <c r="B70" s="53" t="s">
        <v>116</v>
      </c>
      <c r="C70" s="54">
        <v>17.600000000000001</v>
      </c>
      <c r="D70" s="54">
        <v>4</v>
      </c>
      <c r="E70" s="2">
        <f t="shared" si="37"/>
        <v>18.503921568627451</v>
      </c>
    </row>
    <row r="71">
      <c r="B71" s="53" t="s">
        <v>117</v>
      </c>
      <c r="C71" s="54">
        <v>17.800000000000001</v>
      </c>
      <c r="D71" s="54">
        <v>5</v>
      </c>
      <c r="E71" s="2">
        <f t="shared" si="37"/>
        <v>18.717647058823527</v>
      </c>
    </row>
    <row r="72">
      <c r="B72" s="53" t="s">
        <v>118</v>
      </c>
      <c r="C72" s="54">
        <v>18.300000000000001</v>
      </c>
      <c r="D72" s="54">
        <v>6</v>
      </c>
      <c r="E72" s="2">
        <f t="shared" si="37"/>
        <v>18.931372549019606</v>
      </c>
    </row>
    <row r="73">
      <c r="B73" s="53" t="s">
        <v>119</v>
      </c>
      <c r="C73" s="54">
        <v>17.300000000000001</v>
      </c>
      <c r="D73" s="54">
        <v>7</v>
      </c>
      <c r="E73" s="2">
        <f t="shared" si="37"/>
        <v>19.145098039215686</v>
      </c>
      <c r="I73" t="s">
        <v>132</v>
      </c>
      <c r="J73">
        <f t="shared" ref="J73:J74" si="38">P94</f>
        <v>17.649019607843137</v>
      </c>
    </row>
    <row r="74">
      <c r="B74" s="53" t="s">
        <v>120</v>
      </c>
      <c r="C74" s="54">
        <v>21.399999999999999</v>
      </c>
      <c r="D74" s="54">
        <v>8</v>
      </c>
      <c r="E74" s="2">
        <f t="shared" si="37"/>
        <v>19.358823529411762</v>
      </c>
      <c r="I74" t="s">
        <v>133</v>
      </c>
      <c r="J74">
        <f t="shared" si="38"/>
        <v>0.21372549019607825</v>
      </c>
    </row>
    <row r="75">
      <c r="B75" s="53" t="s">
        <v>121</v>
      </c>
      <c r="C75" s="54">
        <v>19.300000000000001</v>
      </c>
      <c r="D75" s="54">
        <v>9</v>
      </c>
      <c r="E75" s="2">
        <f t="shared" si="37"/>
        <v>19.572549019607841</v>
      </c>
    </row>
    <row r="76">
      <c r="B76" s="53" t="s">
        <v>122</v>
      </c>
      <c r="C76" s="54">
        <v>18.100000000000001</v>
      </c>
      <c r="D76" s="54">
        <v>10</v>
      </c>
      <c r="E76" s="2">
        <f t="shared" si="37"/>
        <v>19.786274509803921</v>
      </c>
    </row>
    <row r="77">
      <c r="B77" s="53" t="s">
        <v>123</v>
      </c>
      <c r="C77" s="54">
        <v>19.5</v>
      </c>
      <c r="D77" s="54">
        <v>11</v>
      </c>
      <c r="E77" s="2">
        <f t="shared" si="37"/>
        <v>19.999999999999996</v>
      </c>
    </row>
    <row r="78">
      <c r="B78" s="53" t="s">
        <v>124</v>
      </c>
      <c r="C78" s="54">
        <v>19.199999999999999</v>
      </c>
      <c r="D78" s="54">
        <v>12</v>
      </c>
      <c r="E78" s="2">
        <f t="shared" si="37"/>
        <v>20.213725490196076</v>
      </c>
      <c r="O78" t="s">
        <v>6</v>
      </c>
    </row>
    <row r="79" ht="15">
      <c r="B79" s="53" t="s">
        <v>125</v>
      </c>
      <c r="C79" s="54">
        <v>22.199999999999999</v>
      </c>
      <c r="D79" s="54">
        <v>13</v>
      </c>
      <c r="E79" s="2">
        <f t="shared" si="37"/>
        <v>20.427450980392155</v>
      </c>
    </row>
    <row r="80">
      <c r="B80" s="53" t="s">
        <v>126</v>
      </c>
      <c r="C80" s="54">
        <v>20.899999999999999</v>
      </c>
      <c r="D80" s="54">
        <v>14</v>
      </c>
      <c r="E80" s="2">
        <f t="shared" si="37"/>
        <v>20.641176470588231</v>
      </c>
      <c r="O80" s="3" t="s">
        <v>8</v>
      </c>
      <c r="P80" s="3"/>
    </row>
    <row r="81">
      <c r="B81" s="53" t="s">
        <v>127</v>
      </c>
      <c r="C81" s="54">
        <v>21.5</v>
      </c>
      <c r="D81" s="54">
        <v>15</v>
      </c>
      <c r="E81" s="2">
        <f t="shared" si="37"/>
        <v>20.854901960784311</v>
      </c>
      <c r="O81" s="2" t="s">
        <v>10</v>
      </c>
      <c r="P81" s="2">
        <v>0.58965670654152469</v>
      </c>
    </row>
    <row r="82">
      <c r="B82" s="53" t="s">
        <v>128</v>
      </c>
      <c r="C82" s="54">
        <v>21.899999999999999</v>
      </c>
      <c r="D82" s="54">
        <v>16</v>
      </c>
      <c r="E82" s="2">
        <f t="shared" si="37"/>
        <v>21.06862745098039</v>
      </c>
      <c r="O82" s="2" t="s">
        <v>11</v>
      </c>
      <c r="P82" s="2">
        <v>0.34769503156939774</v>
      </c>
    </row>
    <row r="83">
      <c r="O83" s="2" t="s">
        <v>13</v>
      </c>
      <c r="P83" s="2">
        <v>0.30420803367402427</v>
      </c>
    </row>
    <row r="84">
      <c r="O84" s="2" t="s">
        <v>15</v>
      </c>
      <c r="P84" s="2">
        <v>1.5267462946953598</v>
      </c>
    </row>
    <row r="85" ht="15">
      <c r="O85" s="4" t="s">
        <v>16</v>
      </c>
      <c r="P85" s="4">
        <v>17</v>
      </c>
    </row>
    <row r="87" ht="15">
      <c r="O87" t="s">
        <v>17</v>
      </c>
    </row>
    <row r="88">
      <c r="O88" s="5"/>
      <c r="P88" s="5" t="s">
        <v>19</v>
      </c>
      <c r="Q88" s="5" t="s">
        <v>20</v>
      </c>
      <c r="R88" s="5" t="s">
        <v>21</v>
      </c>
      <c r="S88" s="5" t="s">
        <v>22</v>
      </c>
      <c r="T88" s="5" t="s">
        <v>23</v>
      </c>
    </row>
    <row r="89">
      <c r="O89" s="2" t="s">
        <v>25</v>
      </c>
      <c r="P89" s="2">
        <v>1</v>
      </c>
      <c r="Q89" s="2">
        <v>18.636862745098014</v>
      </c>
      <c r="R89" s="2">
        <v>18.636862745098014</v>
      </c>
      <c r="S89" s="2">
        <v>7.9953790419363138</v>
      </c>
      <c r="T89" s="2">
        <v>0.012729902387025024</v>
      </c>
    </row>
    <row r="90">
      <c r="O90" s="2" t="s">
        <v>26</v>
      </c>
      <c r="P90" s="2">
        <v>15</v>
      </c>
      <c r="Q90" s="2">
        <v>34.964313725490157</v>
      </c>
      <c r="R90" s="2">
        <v>2.3309542483660106</v>
      </c>
      <c r="S90" s="2"/>
      <c r="T90" s="2"/>
    </row>
    <row r="91" ht="15">
      <c r="O91" s="4" t="s">
        <v>27</v>
      </c>
      <c r="P91" s="4">
        <v>16</v>
      </c>
      <c r="Q91" s="4">
        <v>53.601176470588172</v>
      </c>
      <c r="R91" s="4"/>
      <c r="S91" s="4"/>
      <c r="T91" s="4"/>
    </row>
    <row r="92" ht="15"/>
    <row r="93">
      <c r="B93" s="50" t="s">
        <v>135</v>
      </c>
      <c r="C93" s="50" t="s">
        <v>140</v>
      </c>
      <c r="D93" s="57" t="s">
        <v>142</v>
      </c>
      <c r="E93" s="57" t="s">
        <v>143</v>
      </c>
      <c r="O93" s="5"/>
      <c r="P93" s="5" t="s">
        <v>32</v>
      </c>
      <c r="Q93" s="5" t="s">
        <v>15</v>
      </c>
      <c r="R93" s="5" t="s">
        <v>33</v>
      </c>
      <c r="S93" s="5" t="s">
        <v>34</v>
      </c>
      <c r="T93" s="5" t="s">
        <v>35</v>
      </c>
      <c r="U93" s="5" t="s">
        <v>36</v>
      </c>
      <c r="V93" s="5" t="s">
        <v>37</v>
      </c>
      <c r="W93" s="5" t="s">
        <v>38</v>
      </c>
    </row>
    <row r="94">
      <c r="B94" s="53" t="s">
        <v>112</v>
      </c>
      <c r="C94" s="54">
        <v>19.300000000000001</v>
      </c>
      <c r="D94">
        <f t="shared" ref="D94:D110" si="39">IF(C94&lt;$C$111,0,1)</f>
        <v>0</v>
      </c>
      <c r="E94">
        <v>0</v>
      </c>
      <c r="O94" s="2" t="s">
        <v>39</v>
      </c>
      <c r="P94" s="2">
        <v>17.649019607843137</v>
      </c>
      <c r="Q94" s="2">
        <v>0.70905206993764913</v>
      </c>
      <c r="R94" s="2">
        <v>24.891006395898557</v>
      </c>
      <c r="S94" s="2">
        <v>1.298277517518579e-13</v>
      </c>
      <c r="T94" s="2">
        <v>16.137710895596317</v>
      </c>
      <c r="U94" s="2">
        <v>19.160328320089956</v>
      </c>
      <c r="V94" s="2">
        <v>16.137710895596317</v>
      </c>
      <c r="W94" s="2">
        <v>19.160328320089956</v>
      </c>
    </row>
    <row r="95" ht="15">
      <c r="B95" s="53" t="s">
        <v>113</v>
      </c>
      <c r="C95" s="54">
        <v>20.899999999999999</v>
      </c>
      <c r="D95" s="2">
        <f t="shared" si="39"/>
        <v>1</v>
      </c>
      <c r="E95">
        <v>1</v>
      </c>
      <c r="O95" s="4" t="s">
        <v>144</v>
      </c>
      <c r="P95" s="4">
        <v>0.21372549019607825</v>
      </c>
      <c r="Q95" s="4">
        <v>0.075585204622067595</v>
      </c>
      <c r="R95" s="4">
        <v>2.8276101290553322</v>
      </c>
      <c r="S95" s="4">
        <v>0.012729902387025043</v>
      </c>
      <c r="T95" s="4">
        <v>0.052619440153329727</v>
      </c>
      <c r="U95" s="4">
        <v>0.37483154023882681</v>
      </c>
      <c r="V95" s="4">
        <v>0.052619440153329727</v>
      </c>
      <c r="W95" s="4">
        <v>0.37483154023882681</v>
      </c>
    </row>
    <row r="96">
      <c r="B96" s="53" t="s">
        <v>114</v>
      </c>
      <c r="C96" s="54">
        <v>17.800000000000001</v>
      </c>
      <c r="D96" s="2">
        <f t="shared" si="39"/>
        <v>0</v>
      </c>
      <c r="E96">
        <v>2</v>
      </c>
    </row>
    <row r="97">
      <c r="B97" s="53" t="s">
        <v>115</v>
      </c>
      <c r="C97" s="54">
        <v>16.100000000000001</v>
      </c>
      <c r="D97" s="2">
        <f t="shared" si="39"/>
        <v>0</v>
      </c>
      <c r="E97">
        <v>2</v>
      </c>
    </row>
    <row r="98">
      <c r="B98" s="53" t="s">
        <v>116</v>
      </c>
      <c r="C98" s="54">
        <v>17.600000000000001</v>
      </c>
      <c r="D98" s="2">
        <f t="shared" si="39"/>
        <v>0</v>
      </c>
      <c r="E98">
        <v>2</v>
      </c>
    </row>
    <row r="99">
      <c r="B99" s="53" t="s">
        <v>117</v>
      </c>
      <c r="C99" s="54">
        <v>17.800000000000001</v>
      </c>
      <c r="D99" s="2">
        <f t="shared" si="39"/>
        <v>0</v>
      </c>
      <c r="E99">
        <v>2</v>
      </c>
    </row>
    <row r="100">
      <c r="B100" s="53" t="s">
        <v>118</v>
      </c>
      <c r="C100" s="54">
        <v>18.300000000000001</v>
      </c>
      <c r="D100" s="2">
        <f t="shared" si="39"/>
        <v>0</v>
      </c>
      <c r="E100">
        <v>2</v>
      </c>
    </row>
    <row r="101">
      <c r="B101" s="53" t="s">
        <v>119</v>
      </c>
      <c r="C101" s="54">
        <v>17.300000000000001</v>
      </c>
      <c r="D101" s="2">
        <f t="shared" si="39"/>
        <v>0</v>
      </c>
      <c r="E101">
        <v>2</v>
      </c>
    </row>
    <row r="102">
      <c r="B102" s="53" t="s">
        <v>120</v>
      </c>
      <c r="C102" s="54">
        <v>21.399999999999999</v>
      </c>
      <c r="D102" s="2">
        <f t="shared" si="39"/>
        <v>1</v>
      </c>
      <c r="E102">
        <v>3</v>
      </c>
    </row>
    <row r="103">
      <c r="B103" s="53" t="s">
        <v>121</v>
      </c>
      <c r="C103" s="54">
        <v>19.300000000000001</v>
      </c>
      <c r="D103" s="2">
        <f t="shared" si="39"/>
        <v>0</v>
      </c>
      <c r="E103">
        <v>4</v>
      </c>
    </row>
    <row r="104">
      <c r="B104" s="53" t="s">
        <v>122</v>
      </c>
      <c r="C104" s="54">
        <v>18.100000000000001</v>
      </c>
      <c r="D104" s="2">
        <f t="shared" si="39"/>
        <v>0</v>
      </c>
      <c r="E104">
        <v>4</v>
      </c>
      <c r="H104" s="57" t="s">
        <v>145</v>
      </c>
      <c r="I104">
        <f>I106-I105</f>
        <v>10</v>
      </c>
    </row>
    <row r="105">
      <c r="B105" s="53" t="s">
        <v>123</v>
      </c>
      <c r="C105" s="54">
        <v>19.5</v>
      </c>
      <c r="D105" s="2">
        <f t="shared" si="39"/>
        <v>1</v>
      </c>
      <c r="E105">
        <v>5</v>
      </c>
      <c r="H105" s="57" t="s">
        <v>146</v>
      </c>
      <c r="I105">
        <f>SUM(D94:D110)</f>
        <v>7</v>
      </c>
    </row>
    <row r="106">
      <c r="B106" s="53" t="s">
        <v>124</v>
      </c>
      <c r="C106" s="54">
        <v>19.199999999999999</v>
      </c>
      <c r="D106" s="2">
        <f t="shared" si="39"/>
        <v>0</v>
      </c>
      <c r="E106">
        <v>6</v>
      </c>
      <c r="H106" s="57" t="s">
        <v>147</v>
      </c>
      <c r="I106">
        <f>COUNT(D94:D110)</f>
        <v>17</v>
      </c>
    </row>
    <row r="107">
      <c r="B107" s="53" t="s">
        <v>125</v>
      </c>
      <c r="C107" s="54">
        <v>22.199999999999999</v>
      </c>
      <c r="D107" s="2">
        <f t="shared" si="39"/>
        <v>1</v>
      </c>
      <c r="E107">
        <v>7</v>
      </c>
      <c r="H107" s="57" t="s">
        <v>148</v>
      </c>
      <c r="I107">
        <f>1+(2*I104*I105)/(I104+I105)</f>
        <v>9.235294117647058</v>
      </c>
    </row>
    <row r="108">
      <c r="B108" s="53" t="s">
        <v>126</v>
      </c>
      <c r="C108" s="54">
        <v>20.899999999999999</v>
      </c>
      <c r="D108" s="2">
        <f t="shared" si="39"/>
        <v>1</v>
      </c>
      <c r="E108">
        <v>7</v>
      </c>
      <c r="H108" s="57" t="s">
        <v>149</v>
      </c>
      <c r="I108">
        <f>(2*I104*I105*(2*I104*I105-I104-I105))/((I104+I105)^2*(I104+I105-1))</f>
        <v>3.7240484429065743</v>
      </c>
    </row>
    <row r="109">
      <c r="B109" s="53" t="s">
        <v>127</v>
      </c>
      <c r="C109" s="54">
        <v>21.5</v>
      </c>
      <c r="D109" s="2">
        <f t="shared" si="39"/>
        <v>1</v>
      </c>
      <c r="E109">
        <v>7</v>
      </c>
      <c r="H109" s="57" t="s">
        <v>108</v>
      </c>
      <c r="I109">
        <f>(7-I107)/SQRT(I108)</f>
        <v>-1.1583158907100046</v>
      </c>
    </row>
    <row r="110">
      <c r="B110" s="53" t="s">
        <v>128</v>
      </c>
      <c r="C110" s="54">
        <v>21.899999999999999</v>
      </c>
      <c r="D110" s="2">
        <f t="shared" si="39"/>
        <v>1</v>
      </c>
      <c r="E110">
        <v>7</v>
      </c>
      <c r="H110" s="57" t="s">
        <v>150</v>
      </c>
      <c r="I110">
        <f>_xlfn.NORM.S.DIST(I109,TRUE)</f>
        <v>0.1233675744503831</v>
      </c>
      <c r="J110">
        <f>2*(1-_xlfn.NORM.S.DIST(ABS(I109),TRUE))</f>
        <v>0.24673514890076609</v>
      </c>
    </row>
    <row r="111">
      <c r="C111" s="58">
        <f>AVERAGE(C94:C110)</f>
        <v>19.358823529411762</v>
      </c>
    </row>
  </sheetData>
  <mergeCells count="2">
    <mergeCell ref="D2:D9"/>
    <mergeCell ref="D11:D1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61" zoomScale="100" workbookViewId="0">
      <selection activeCell="M74" activeCellId="0" sqref="M74"/>
    </sheetView>
  </sheetViews>
  <sheetFormatPr defaultRowHeight="14.5"/>
  <cols>
    <col bestFit="1" customWidth="1" min="2" max="2" width="16.6328125"/>
    <col bestFit="1" customWidth="1" min="3" max="3" width="12.36328125"/>
    <col bestFit="1" customWidth="1" min="4" max="4" width="20"/>
    <col bestFit="1" customWidth="1" min="8" max="8" width="12.453125"/>
    <col bestFit="1" customWidth="1" min="10" max="10" width="12.54296875"/>
    <col bestFit="1" customWidth="1" min="13" max="13" width="11.81640625"/>
  </cols>
  <sheetData>
    <row r="1">
      <c r="A1" s="59" t="s">
        <v>151</v>
      </c>
      <c r="B1" s="59" t="s">
        <v>152</v>
      </c>
      <c r="C1" s="59" t="s">
        <v>153</v>
      </c>
      <c r="D1" s="59" t="s">
        <v>154</v>
      </c>
    </row>
    <row r="2">
      <c r="A2" s="16"/>
      <c r="B2" s="60" t="s">
        <v>155</v>
      </c>
      <c r="C2" s="60" t="s">
        <v>156</v>
      </c>
      <c r="D2" s="60" t="s">
        <v>157</v>
      </c>
      <c r="E2" s="60" t="s">
        <v>158</v>
      </c>
      <c r="F2" s="60" t="s">
        <v>159</v>
      </c>
      <c r="G2" s="60" t="s">
        <v>160</v>
      </c>
      <c r="H2" s="60" t="s">
        <v>161</v>
      </c>
      <c r="I2" s="60" t="s">
        <v>162</v>
      </c>
      <c r="J2" s="60" t="s">
        <v>163</v>
      </c>
      <c r="K2" s="60" t="s">
        <v>164</v>
      </c>
      <c r="L2" s="60" t="s">
        <v>165</v>
      </c>
      <c r="M2" s="60" t="s">
        <v>166</v>
      </c>
    </row>
    <row r="3">
      <c r="A3" s="54">
        <v>1</v>
      </c>
      <c r="B3" s="54">
        <v>6</v>
      </c>
      <c r="C3" s="54">
        <v>110</v>
      </c>
      <c r="D3" s="54">
        <v>30</v>
      </c>
      <c r="E3">
        <f t="shared" ref="E3:E17" si="40">LN(B3)</f>
        <v>1.791759469228055</v>
      </c>
      <c r="F3" s="2">
        <f t="shared" ref="F3:G17" si="41">LN(C3)</f>
        <v>4.7004803657924166</v>
      </c>
      <c r="G3" s="2">
        <f t="shared" si="41"/>
        <v>3.4011973816621555</v>
      </c>
      <c r="H3">
        <f t="shared" ref="H3:H17" si="42">F3^2</f>
        <v>22.09451566920001</v>
      </c>
      <c r="I3" s="2">
        <f t="shared" ref="I3:I17" si="43">G3^2</f>
        <v>11.568143629025503</v>
      </c>
      <c r="J3">
        <f t="shared" ref="J3:J17" si="44">F3*G3</f>
        <v>15.987261512687539</v>
      </c>
      <c r="K3">
        <f t="shared" ref="K3:K17" si="45">F3*E3</f>
        <v>8.4221302053291147</v>
      </c>
      <c r="L3">
        <f t="shared" ref="L3:L17" si="46">G3*E3</f>
        <v>6.0941276153068342</v>
      </c>
      <c r="M3">
        <f t="shared" ref="M3:M17" si="47">E3^2</f>
        <v>3.2104019955684011</v>
      </c>
    </row>
    <row r="4">
      <c r="A4" s="54">
        <v>2</v>
      </c>
      <c r="B4" s="54">
        <v>12</v>
      </c>
      <c r="C4" s="54">
        <v>120</v>
      </c>
      <c r="D4" s="54">
        <v>40</v>
      </c>
      <c r="E4" s="2">
        <f t="shared" si="40"/>
        <v>2.4849066497880004</v>
      </c>
      <c r="F4" s="2">
        <f t="shared" si="41"/>
        <v>4.7874917427820458</v>
      </c>
      <c r="G4" s="2">
        <f t="shared" ref="G4:G17" si="48">LN(D4)</f>
        <v>3.6888794541139363</v>
      </c>
      <c r="H4" s="2">
        <f t="shared" si="42"/>
        <v>22.920077187206271</v>
      </c>
      <c r="I4" s="2">
        <f t="shared" si="43"/>
        <v>13.607831626983932</v>
      </c>
      <c r="J4" s="2">
        <f t="shared" si="44"/>
        <v>17.660479926688812</v>
      </c>
      <c r="K4" s="2">
        <f t="shared" si="45"/>
        <v>11.896470067444248</v>
      </c>
      <c r="L4" s="2">
        <f t="shared" si="46"/>
        <v>9.1665210857940487</v>
      </c>
      <c r="M4" s="2">
        <f t="shared" si="47"/>
        <v>6.174761058160624</v>
      </c>
    </row>
    <row r="5">
      <c r="A5" s="54">
        <v>3</v>
      </c>
      <c r="B5" s="54">
        <v>19</v>
      </c>
      <c r="C5" s="54">
        <v>143</v>
      </c>
      <c r="D5" s="54">
        <v>42</v>
      </c>
      <c r="E5" s="2">
        <f t="shared" si="40"/>
        <v>2.9444389791664403</v>
      </c>
      <c r="F5" s="2">
        <f t="shared" si="41"/>
        <v>4.962844630259907</v>
      </c>
      <c r="G5" s="2">
        <f t="shared" si="48"/>
        <v>3.7376696182833684</v>
      </c>
      <c r="H5" s="2">
        <f t="shared" si="42"/>
        <v>24.629826824099592</v>
      </c>
      <c r="I5" s="2">
        <f t="shared" si="43"/>
        <v>13.97017417543854</v>
      </c>
      <c r="J5" s="2">
        <f t="shared" si="44"/>
        <v>18.549473594783212</v>
      </c>
      <c r="K5" s="2">
        <f t="shared" si="45"/>
        <v>14.61279317688413</v>
      </c>
      <c r="L5" s="2">
        <f t="shared" si="46"/>
        <v>11.005340115319699</v>
      </c>
      <c r="M5" s="2">
        <f t="shared" si="47"/>
        <v>8.6697209020347081</v>
      </c>
    </row>
    <row r="6">
      <c r="A6" s="54">
        <v>4</v>
      </c>
      <c r="B6" s="54">
        <v>25</v>
      </c>
      <c r="C6" s="54">
        <v>150</v>
      </c>
      <c r="D6" s="54">
        <v>40</v>
      </c>
      <c r="E6" s="2">
        <f t="shared" si="40"/>
        <v>3.2188758248682006</v>
      </c>
      <c r="F6" s="2">
        <f t="shared" si="41"/>
        <v>5.0106352940962555</v>
      </c>
      <c r="G6" s="2">
        <f t="shared" si="48"/>
        <v>3.6888794541139363</v>
      </c>
      <c r="H6" s="2">
        <f t="shared" si="42"/>
        <v>25.106466050443068</v>
      </c>
      <c r="I6" s="2">
        <f t="shared" si="43"/>
        <v>13.607831626983932</v>
      </c>
      <c r="J6" s="2">
        <f t="shared" si="44"/>
        <v>18.483629588449819</v>
      </c>
      <c r="K6" s="2">
        <f t="shared" si="45"/>
        <v>16.128612815397805</v>
      </c>
      <c r="L6" s="2">
        <f t="shared" si="46"/>
        <v>11.874044895700354</v>
      </c>
      <c r="M6" s="2">
        <f t="shared" si="47"/>
        <v>10.361161575920939</v>
      </c>
    </row>
    <row r="7">
      <c r="A7" s="54">
        <v>5</v>
      </c>
      <c r="B7" s="54">
        <v>30</v>
      </c>
      <c r="C7" s="54">
        <v>152</v>
      </c>
      <c r="D7" s="54">
        <v>51</v>
      </c>
      <c r="E7" s="2">
        <f t="shared" si="40"/>
        <v>3.4011973816621555</v>
      </c>
      <c r="F7" s="2">
        <f t="shared" si="41"/>
        <v>5.0238805208462765</v>
      </c>
      <c r="G7" s="2">
        <f t="shared" si="48"/>
        <v>3.9318256327243257</v>
      </c>
      <c r="H7" s="2">
        <f t="shared" si="42"/>
        <v>25.239375487738656</v>
      </c>
      <c r="I7" s="2">
        <f t="shared" si="43"/>
        <v>15.459252806148044</v>
      </c>
      <c r="J7" s="2">
        <f t="shared" si="44"/>
        <v>19.753022207607827</v>
      </c>
      <c r="K7" s="2">
        <f t="shared" si="45"/>
        <v>17.087209273285861</v>
      </c>
      <c r="L7" s="2">
        <f t="shared" si="46"/>
        <v>13.372915047174125</v>
      </c>
      <c r="M7" s="2">
        <f t="shared" si="47"/>
        <v>11.568143629025503</v>
      </c>
    </row>
    <row r="8">
      <c r="A8" s="54">
        <v>6</v>
      </c>
      <c r="B8" s="54">
        <v>36</v>
      </c>
      <c r="C8" s="54">
        <v>162</v>
      </c>
      <c r="D8" s="54">
        <v>59</v>
      </c>
      <c r="E8" s="2">
        <f t="shared" si="40"/>
        <v>3.5835189384561099</v>
      </c>
      <c r="F8" s="2">
        <f t="shared" si="41"/>
        <v>5.0875963352323836</v>
      </c>
      <c r="G8" s="2">
        <f t="shared" si="48"/>
        <v>4.0775374439057197</v>
      </c>
      <c r="H8" s="2">
        <f t="shared" si="42"/>
        <v>25.88363647026998</v>
      </c>
      <c r="I8" s="2">
        <f t="shared" si="43"/>
        <v>16.626311606453189</v>
      </c>
      <c r="J8" s="2">
        <f t="shared" si="44"/>
        <v>20.744864556387562</v>
      </c>
      <c r="K8" s="2">
        <f t="shared" si="45"/>
        <v>18.231497818525146</v>
      </c>
      <c r="L8" s="2">
        <f t="shared" si="46"/>
        <v>14.611932652500064</v>
      </c>
      <c r="M8" s="2">
        <f t="shared" si="47"/>
        <v>12.841607982273604</v>
      </c>
    </row>
    <row r="9">
      <c r="A9" s="54">
        <v>7</v>
      </c>
      <c r="B9" s="54">
        <v>38</v>
      </c>
      <c r="C9" s="54">
        <v>180</v>
      </c>
      <c r="D9" s="54">
        <v>60</v>
      </c>
      <c r="E9" s="2">
        <f t="shared" si="40"/>
        <v>3.6375861597263857</v>
      </c>
      <c r="F9" s="2">
        <f t="shared" si="41"/>
        <v>5.1929568508902104</v>
      </c>
      <c r="G9" s="2">
        <f t="shared" si="48"/>
        <v>4.0943445622221004</v>
      </c>
      <c r="H9" s="2">
        <f t="shared" si="42"/>
        <v>26.96680085520757</v>
      </c>
      <c r="I9" s="2">
        <f t="shared" si="43"/>
        <v>16.763657394197683</v>
      </c>
      <c r="J9" s="2">
        <f t="shared" si="44"/>
        <v>21.261754644296335</v>
      </c>
      <c r="K9" s="2">
        <f t="shared" si="45"/>
        <v>18.889827968854547</v>
      </c>
      <c r="L9" s="2">
        <f t="shared" si="46"/>
        <v>14.8935311126901</v>
      </c>
      <c r="M9" s="2">
        <f t="shared" si="47"/>
        <v>13.232033069432955</v>
      </c>
    </row>
    <row r="10">
      <c r="A10" s="54">
        <v>8</v>
      </c>
      <c r="B10" s="54">
        <v>43</v>
      </c>
      <c r="C10" s="54">
        <v>182</v>
      </c>
      <c r="D10" s="54">
        <v>63</v>
      </c>
      <c r="E10" s="2">
        <f t="shared" si="40"/>
        <v>3.7612001156935624</v>
      </c>
      <c r="F10" s="2">
        <f t="shared" si="41"/>
        <v>5.2040066870767951</v>
      </c>
      <c r="G10" s="2">
        <f t="shared" si="48"/>
        <v>4.1431347263915326</v>
      </c>
      <c r="H10" s="2">
        <f t="shared" si="42"/>
        <v>27.081685599140002</v>
      </c>
      <c r="I10" s="2">
        <f t="shared" si="43"/>
        <v>17.16556536103144</v>
      </c>
      <c r="J10" s="2">
        <f t="shared" si="44"/>
        <v>21.560900821601624</v>
      </c>
      <c r="K10" s="2">
        <f t="shared" si="45"/>
        <v>19.573310553503315</v>
      </c>
      <c r="L10" s="2">
        <f t="shared" si="46"/>
        <v>15.583158812237848</v>
      </c>
      <c r="M10" s="2">
        <f t="shared" si="47"/>
        <v>14.146626310293268</v>
      </c>
    </row>
    <row r="11">
      <c r="A11" s="54">
        <v>9</v>
      </c>
      <c r="B11" s="54">
        <v>44</v>
      </c>
      <c r="C11" s="54">
        <v>180</v>
      </c>
      <c r="D11" s="54">
        <v>61</v>
      </c>
      <c r="E11" s="2">
        <f t="shared" si="40"/>
        <v>3.784189633918261</v>
      </c>
      <c r="F11" s="2">
        <f t="shared" si="41"/>
        <v>5.1929568508902104</v>
      </c>
      <c r="G11" s="2">
        <f t="shared" ref="G11:G16" si="49">LN(D11)</f>
        <v>4.1108738641733114</v>
      </c>
      <c r="H11" s="2">
        <f t="shared" si="42"/>
        <v>26.96680085520757</v>
      </c>
      <c r="I11" s="2">
        <f t="shared" si="43"/>
        <v>16.899283927143212</v>
      </c>
      <c r="J11" s="2">
        <f t="shared" si="44"/>
        <v>21.347590596104311</v>
      </c>
      <c r="K11" s="2">
        <f t="shared" si="45"/>
        <v>19.651133484523552</v>
      </c>
      <c r="L11" s="2">
        <f t="shared" si="46"/>
        <v>15.556326263150151</v>
      </c>
      <c r="M11" s="2">
        <f t="shared" si="47"/>
        <v>14.320091185454423</v>
      </c>
    </row>
    <row r="12">
      <c r="A12" s="54">
        <v>10</v>
      </c>
      <c r="B12" s="54">
        <v>49</v>
      </c>
      <c r="C12" s="54">
        <v>175</v>
      </c>
      <c r="D12" s="54">
        <v>63</v>
      </c>
      <c r="E12" s="2">
        <f t="shared" si="40"/>
        <v>3.8918202981106265</v>
      </c>
      <c r="F12" s="2">
        <f t="shared" si="41"/>
        <v>5.1647859739235145</v>
      </c>
      <c r="G12" s="2">
        <f t="shared" si="49"/>
        <v>4.1431347263915326</v>
      </c>
      <c r="H12" s="2">
        <f t="shared" si="42"/>
        <v>26.675014156437065</v>
      </c>
      <c r="I12" s="2">
        <f t="shared" si="43"/>
        <v>17.16556536103144</v>
      </c>
      <c r="J12" s="2">
        <f t="shared" si="44"/>
        <v>21.398404122942424</v>
      </c>
      <c r="K12" s="2">
        <f t="shared" si="45"/>
        <v>20.100418888712593</v>
      </c>
      <c r="L12" s="2">
        <f t="shared" si="46"/>
        <v>16.124335825977582</v>
      </c>
      <c r="M12" s="2">
        <f t="shared" si="47"/>
        <v>15.146265232785886</v>
      </c>
    </row>
    <row r="13">
      <c r="A13" s="54">
        <v>11</v>
      </c>
      <c r="B13" s="54">
        <v>50</v>
      </c>
      <c r="C13" s="54">
        <v>195</v>
      </c>
      <c r="D13" s="54">
        <v>85</v>
      </c>
      <c r="E13" s="2">
        <f t="shared" si="40"/>
        <v>3.912023005428146</v>
      </c>
      <c r="F13" s="2">
        <f t="shared" si="41"/>
        <v>5.2729995585637468</v>
      </c>
      <c r="G13" s="2">
        <f t="shared" si="49"/>
        <v>4.4426512564903167</v>
      </c>
      <c r="H13" s="2">
        <f t="shared" si="42"/>
        <v>27.804524344613469</v>
      </c>
      <c r="I13" s="2">
        <f t="shared" si="43"/>
        <v>19.737150186794988</v>
      </c>
      <c r="J13" s="2">
        <f t="shared" si="44"/>
        <v>23.426098114326116</v>
      </c>
      <c r="K13" s="2">
        <f t="shared" si="45"/>
        <v>20.628095580713836</v>
      </c>
      <c r="L13" s="2">
        <f t="shared" si="46"/>
        <v>17.379753920484376</v>
      </c>
      <c r="M13" s="2">
        <f t="shared" si="47"/>
        <v>15.303923994999064</v>
      </c>
    </row>
    <row r="14">
      <c r="A14" s="54">
        <v>12</v>
      </c>
      <c r="B14" s="54">
        <v>52</v>
      </c>
      <c r="C14" s="54">
        <v>196</v>
      </c>
      <c r="D14" s="54">
        <v>90</v>
      </c>
      <c r="E14" s="2">
        <f t="shared" si="40"/>
        <v>3.9512437185814275</v>
      </c>
      <c r="F14" s="2">
        <f t="shared" si="41"/>
        <v>5.2781146592305168</v>
      </c>
      <c r="G14" s="2">
        <f t="shared" si="49"/>
        <v>4.499809670330265</v>
      </c>
      <c r="H14" s="2">
        <f t="shared" si="42"/>
        <v>27.858494355984075</v>
      </c>
      <c r="I14" s="2">
        <f t="shared" si="43"/>
        <v>20.248287069197769</v>
      </c>
      <c r="J14" s="2">
        <f t="shared" si="44"/>
        <v>23.750511384717409</v>
      </c>
      <c r="K14" s="2">
        <f t="shared" si="45"/>
        <v>20.85511739323713</v>
      </c>
      <c r="L14" s="2">
        <f t="shared" si="46"/>
        <v>17.779844694704423</v>
      </c>
      <c r="M14" s="2">
        <f t="shared" si="47"/>
        <v>15.612326923629187</v>
      </c>
    </row>
    <row r="15">
      <c r="A15" s="54">
        <v>13</v>
      </c>
      <c r="B15" s="54">
        <v>54</v>
      </c>
      <c r="C15" s="54">
        <v>183</v>
      </c>
      <c r="D15" s="54">
        <v>98</v>
      </c>
      <c r="E15" s="2">
        <f t="shared" si="40"/>
        <v>3.9889840465642745</v>
      </c>
      <c r="F15" s="2">
        <f t="shared" si="41"/>
        <v>5.2094861528414214</v>
      </c>
      <c r="G15" s="2">
        <f t="shared" si="49"/>
        <v>4.5849674786705723</v>
      </c>
      <c r="H15" s="2">
        <f t="shared" si="42"/>
        <v>27.138745976646511</v>
      </c>
      <c r="I15" s="2">
        <f t="shared" si="43"/>
        <v>21.021926780466785</v>
      </c>
      <c r="J15" s="2">
        <f t="shared" si="44"/>
        <v>23.88532459136259</v>
      </c>
      <c r="K15" s="2">
        <f t="shared" si="45"/>
        <v>20.780557154481929</v>
      </c>
      <c r="L15" s="2">
        <f t="shared" si="46"/>
        <v>18.289362126432938</v>
      </c>
      <c r="M15" s="2">
        <f t="shared" si="47"/>
        <v>15.911993723744294</v>
      </c>
    </row>
    <row r="16">
      <c r="A16" s="54">
        <v>14</v>
      </c>
      <c r="B16" s="54">
        <v>41</v>
      </c>
      <c r="C16" s="54">
        <v>190</v>
      </c>
      <c r="D16" s="54">
        <v>90</v>
      </c>
      <c r="E16" s="2">
        <f t="shared" si="40"/>
        <v>3.713572066704308</v>
      </c>
      <c r="F16" s="2">
        <f t="shared" si="41"/>
        <v>5.2470240721604862</v>
      </c>
      <c r="G16" s="2">
        <f t="shared" si="49"/>
        <v>4.499809670330265</v>
      </c>
      <c r="H16" s="2">
        <f t="shared" si="42"/>
        <v>27.53126161383161</v>
      </c>
      <c r="I16" s="2">
        <f t="shared" si="43"/>
        <v>20.248287069197769</v>
      </c>
      <c r="J16" s="2">
        <f t="shared" si="44"/>
        <v>23.610609660363441</v>
      </c>
      <c r="K16" s="2">
        <f t="shared" si="45"/>
        <v>19.485202027700272</v>
      </c>
      <c r="L16" s="2">
        <f t="shared" si="46"/>
        <v>16.710367497224393</v>
      </c>
      <c r="M16" s="2">
        <f t="shared" si="47"/>
        <v>13.790617494606504</v>
      </c>
    </row>
    <row r="17">
      <c r="A17" s="54">
        <v>15</v>
      </c>
      <c r="B17" s="54">
        <v>35</v>
      </c>
      <c r="C17" s="54">
        <v>150</v>
      </c>
      <c r="D17" s="54">
        <v>80</v>
      </c>
      <c r="E17" s="2">
        <f t="shared" si="40"/>
        <v>3.5553480614894135</v>
      </c>
      <c r="F17" s="2">
        <f t="shared" si="41"/>
        <v>5.0106352940962555</v>
      </c>
      <c r="G17" s="2">
        <f t="shared" si="48"/>
        <v>4.3820266346738812</v>
      </c>
      <c r="H17" s="2">
        <f t="shared" si="42"/>
        <v>25.106466050443068</v>
      </c>
      <c r="I17" s="2">
        <f t="shared" si="43"/>
        <v>19.202157426991302</v>
      </c>
      <c r="J17" s="2">
        <f t="shared" si="44"/>
        <v>21.956737315366787</v>
      </c>
      <c r="K17" s="2">
        <f t="shared" si="45"/>
        <v>17.814552479695561</v>
      </c>
      <c r="L17" s="2">
        <f t="shared" si="46"/>
        <v>15.579629900982763</v>
      </c>
      <c r="M17" s="2">
        <f t="shared" si="47"/>
        <v>12.640499838336531</v>
      </c>
    </row>
    <row r="18">
      <c r="E18" s="61">
        <f>AVERAGE(E3:E17)</f>
        <v>3.4413776232923579</v>
      </c>
      <c r="F18" s="61">
        <f t="shared" ref="F18:G18" si="50">AVERAGE(F3:F17)</f>
        <v>5.08972633257883</v>
      </c>
      <c r="G18" s="61">
        <f t="shared" si="50"/>
        <v>4.0951161049651477</v>
      </c>
      <c r="H18" s="62">
        <f>SUM(H3:H17)</f>
        <v>389.00369149646855</v>
      </c>
      <c r="I18" s="62">
        <f t="shared" ref="I18:L18" si="51">SUM(I3:I17)</f>
        <v>253.29142604708554</v>
      </c>
      <c r="J18" s="62">
        <f t="shared" si="51"/>
        <v>313.3766626376858</v>
      </c>
      <c r="K18" s="62">
        <f t="shared" si="51"/>
        <v>264.15692888828903</v>
      </c>
      <c r="L18" s="62">
        <f t="shared" si="51"/>
        <v>214.02119156567969</v>
      </c>
      <c r="M18" s="62">
        <f>SUM(M3:M17)</f>
        <v>182.93017491626588</v>
      </c>
    </row>
    <row r="21">
      <c r="I21" t="s">
        <v>167</v>
      </c>
      <c r="K21" t="s">
        <v>168</v>
      </c>
    </row>
    <row r="22">
      <c r="E22" t="s">
        <v>169</v>
      </c>
      <c r="F22">
        <f>H18-15*F18^2</f>
        <v>0.42397938827332382</v>
      </c>
      <c r="H22">
        <f>F22</f>
        <v>0.42397938827332382</v>
      </c>
      <c r="I22">
        <f>F24</f>
        <v>0.73135852155434122</v>
      </c>
      <c r="K22">
        <f t="shared" ref="K22:K23" si="52">F25</f>
        <v>1.421874244009075</v>
      </c>
    </row>
    <row r="23">
      <c r="E23" t="s">
        <v>170</v>
      </c>
      <c r="F23">
        <f>I18-15*G18^2</f>
        <v>1.7417873499117036</v>
      </c>
      <c r="H23">
        <f>F24</f>
        <v>0.73135852155434122</v>
      </c>
      <c r="I23">
        <f>F23</f>
        <v>1.7417873499117036</v>
      </c>
      <c r="K23">
        <f t="shared" si="52"/>
        <v>2.628577639511434</v>
      </c>
    </row>
    <row r="24">
      <c r="E24" t="s">
        <v>171</v>
      </c>
      <c r="F24">
        <f>J18-15*F18*G18</f>
        <v>0.73135852155434122</v>
      </c>
    </row>
    <row r="25">
      <c r="E25" t="s">
        <v>172</v>
      </c>
      <c r="F25">
        <f>K18-15*F18*E18</f>
        <v>1.421874244009075</v>
      </c>
      <c r="I25" t="s">
        <v>173</v>
      </c>
      <c r="K25" s="63" t="s">
        <v>174</v>
      </c>
      <c r="L25" t="s">
        <v>175</v>
      </c>
      <c r="M25" s="63" t="s">
        <v>176</v>
      </c>
    </row>
    <row r="26">
      <c r="E26" t="s">
        <v>177</v>
      </c>
      <c r="F26">
        <f>L18-15*G18*E18</f>
        <v>2.628577639511434</v>
      </c>
      <c r="H26">
        <f t="array" ref="H26:I27">MINVERSE(xtx)</f>
        <v>8.5550885362963136</v>
      </c>
      <c r="I26">
        <f/>
        <v>-3.5921933317458881</v>
      </c>
      <c r="K26" s="35">
        <f t="array" ref="K26:K27">MMULT(in,xty)</f>
        <v>2.7219009763477047</v>
      </c>
      <c r="L26">
        <f>E18-K26*F18-K27*G18</f>
        <v>-11.912101672455684</v>
      </c>
      <c r="M26">
        <f>EXP(L26)</f>
        <v>6.7087247818540589e-06</v>
      </c>
    </row>
    <row r="27">
      <c r="H27">
        <f/>
        <v>-3.5921933317458885</v>
      </c>
      <c r="I27">
        <f/>
        <v>2.0824477824040395</v>
      </c>
      <c r="K27" s="35">
        <f/>
        <v>0.36622849836680427</v>
      </c>
    </row>
    <row r="29">
      <c r="E29" t="s">
        <v>178</v>
      </c>
      <c r="F29">
        <f>M18-15*E18^2</f>
        <v>5.283975724805515</v>
      </c>
      <c r="K29" t="s">
        <v>17</v>
      </c>
    </row>
    <row r="30">
      <c r="E30" t="s">
        <v>179</v>
      </c>
      <c r="F30">
        <f t="array" ref="F30">MMULT(TRANSPOSE(b),xty)</f>
        <v>4.8328609347707872</v>
      </c>
      <c r="H30" s="64" t="s">
        <v>180</v>
      </c>
      <c r="I30" s="64" t="s">
        <v>181</v>
      </c>
      <c r="J30" s="64" t="s">
        <v>20</v>
      </c>
      <c r="K30" s="64" t="s">
        <v>182</v>
      </c>
      <c r="L30" s="64" t="s">
        <v>183</v>
      </c>
      <c r="M30" s="64" t="s">
        <v>184</v>
      </c>
      <c r="N30" s="65" t="s">
        <v>185</v>
      </c>
    </row>
    <row r="31">
      <c r="E31" t="s">
        <v>186</v>
      </c>
      <c r="F31">
        <f>F29-F30</f>
        <v>0.45111479003472787</v>
      </c>
      <c r="H31" s="35" t="s">
        <v>25</v>
      </c>
      <c r="I31" s="35">
        <v>2</v>
      </c>
      <c r="J31" s="35">
        <f t="shared" ref="J31:J32" si="53">F30</f>
        <v>4.8328609347707872</v>
      </c>
      <c r="K31" s="35">
        <f>J31/I31</f>
        <v>2.4164304673853936</v>
      </c>
      <c r="L31" s="35">
        <f>K31/K32</f>
        <v>64.278906941606706</v>
      </c>
      <c r="M31" s="35">
        <f>_xlfn.F.INV.RT(0.05,I31,I32)</f>
        <v>3.8852938346523942</v>
      </c>
      <c r="N31">
        <f>J31/J33</f>
        <v>0.91462587764796521</v>
      </c>
    </row>
    <row r="32">
      <c r="E32" s="66" t="s">
        <v>185</v>
      </c>
      <c r="F32" s="67">
        <f>F30/F29</f>
        <v>0.91462587764796521</v>
      </c>
      <c r="H32" s="35" t="s">
        <v>26</v>
      </c>
      <c r="I32" s="35">
        <f>I33-I31</f>
        <v>12</v>
      </c>
      <c r="J32" s="35">
        <f t="shared" si="53"/>
        <v>0.45111479003472787</v>
      </c>
      <c r="K32" s="35">
        <f>J32/12</f>
        <v>0.037592899169560656</v>
      </c>
      <c r="L32" s="35"/>
      <c r="M32" s="35"/>
    </row>
    <row r="33">
      <c r="H33" s="35" t="s">
        <v>27</v>
      </c>
      <c r="I33" s="35">
        <f>COUNT(D3:D17)-1</f>
        <v>14</v>
      </c>
      <c r="J33" s="35">
        <f>F29</f>
        <v>5.283975724805515</v>
      </c>
      <c r="K33" s="35"/>
      <c r="L33" s="35"/>
      <c r="M33" s="35"/>
    </row>
    <row r="36">
      <c r="E36" s="16" t="s">
        <v>187</v>
      </c>
      <c r="F36">
        <f t="array" ref="F36:G37">in*$K$32</f>
        <v>0.32161058073165155</v>
      </c>
      <c r="G36" s="2">
        <f/>
        <v>-0.13504096171789132</v>
      </c>
      <c r="I36" s="37" t="s">
        <v>188</v>
      </c>
      <c r="J36">
        <f t="shared" ref="J36:J37" si="54">K26/F39</f>
        <v>4.7996233473316483</v>
      </c>
    </row>
    <row r="37">
      <c r="F37">
        <f/>
        <v>-0.13504096171789134</v>
      </c>
      <c r="G37">
        <f/>
        <v>0.078285249509790253</v>
      </c>
      <c r="I37" s="37" t="s">
        <v>189</v>
      </c>
      <c r="J37">
        <f t="shared" si="54"/>
        <v>1.3089171745720851</v>
      </c>
    </row>
    <row r="38">
      <c r="I38" s="37" t="s">
        <v>190</v>
      </c>
      <c r="J38">
        <f>_xlfn.T.INV.2T(0.05,12)</f>
        <v>2.1788128296672284</v>
      </c>
    </row>
    <row r="39">
      <c r="E39" s="16" t="s">
        <v>191</v>
      </c>
      <c r="F39">
        <f>SQRT(F36)</f>
        <v>0.56710720391443759</v>
      </c>
    </row>
    <row r="40">
      <c r="E40" s="16" t="s">
        <v>192</v>
      </c>
      <c r="F40">
        <f>SQRT(G37)</f>
        <v>0.27979501337548934</v>
      </c>
    </row>
    <row r="42">
      <c r="Q42">
        <f t="array" ref="Q42:AE44">TRANSPOSE(xx)</f>
        <v>1</v>
      </c>
      <c r="R42">
        <f/>
        <v>1</v>
      </c>
      <c r="S42">
        <f/>
        <v>1</v>
      </c>
      <c r="T42">
        <f/>
        <v>1</v>
      </c>
      <c r="U42">
        <f/>
        <v>1</v>
      </c>
      <c r="V42">
        <f/>
        <v>1</v>
      </c>
      <c r="W42">
        <f/>
        <v>1</v>
      </c>
      <c r="X42">
        <f/>
        <v>1</v>
      </c>
      <c r="Y42">
        <f/>
        <v>1</v>
      </c>
      <c r="Z42">
        <f/>
        <v>1</v>
      </c>
      <c r="AA42">
        <f/>
        <v>1</v>
      </c>
      <c r="AB42">
        <f/>
        <v>1</v>
      </c>
      <c r="AC42">
        <f/>
        <v>1</v>
      </c>
      <c r="AD42">
        <f/>
        <v>1</v>
      </c>
      <c r="AE42">
        <f/>
        <v>1</v>
      </c>
    </row>
    <row r="43">
      <c r="P43" t="s">
        <v>18</v>
      </c>
      <c r="Q43">
        <f/>
        <v>4.7004803657924166</v>
      </c>
      <c r="R43">
        <f/>
        <v>4.7874917427820458</v>
      </c>
      <c r="S43">
        <f/>
        <v>4.962844630259907</v>
      </c>
      <c r="T43">
        <f/>
        <v>5.0106352940962555</v>
      </c>
      <c r="U43">
        <f/>
        <v>5.0238805208462765</v>
      </c>
      <c r="V43">
        <f/>
        <v>5.0875963352323836</v>
      </c>
      <c r="W43">
        <f/>
        <v>5.1929568508902104</v>
      </c>
      <c r="X43">
        <f/>
        <v>5.2040066870767951</v>
      </c>
      <c r="Y43">
        <f/>
        <v>5.1929568508902104</v>
      </c>
      <c r="Z43">
        <f/>
        <v>5.1647859739235145</v>
      </c>
      <c r="AA43">
        <f/>
        <v>5.2729995585637468</v>
      </c>
      <c r="AB43">
        <f/>
        <v>5.2781146592305168</v>
      </c>
      <c r="AC43">
        <f/>
        <v>5.2094861528414214</v>
      </c>
      <c r="AD43">
        <f/>
        <v>5.2470240721604862</v>
      </c>
      <c r="AE43">
        <f/>
        <v>5.0106352940962555</v>
      </c>
    </row>
    <row r="44">
      <c r="Q44">
        <f/>
        <v>3.4011973816621555</v>
      </c>
      <c r="R44">
        <f/>
        <v>3.6888794541139363</v>
      </c>
      <c r="S44">
        <f/>
        <v>3.7376696182833684</v>
      </c>
      <c r="T44">
        <f/>
        <v>3.6888794541139363</v>
      </c>
      <c r="U44">
        <f/>
        <v>3.9318256327243257</v>
      </c>
      <c r="V44">
        <f/>
        <v>4.0775374439057197</v>
      </c>
      <c r="W44">
        <f/>
        <v>4.0943445622221004</v>
      </c>
      <c r="X44">
        <f/>
        <v>4.1431347263915326</v>
      </c>
      <c r="Y44">
        <f/>
        <v>4.1108738641733114</v>
      </c>
      <c r="Z44">
        <f/>
        <v>4.1431347263915326</v>
      </c>
      <c r="AA44">
        <f/>
        <v>4.4426512564903167</v>
      </c>
      <c r="AB44">
        <f/>
        <v>4.499809670330265</v>
      </c>
      <c r="AC44">
        <f/>
        <v>4.5849674786705723</v>
      </c>
      <c r="AD44">
        <f/>
        <v>4.499809670330265</v>
      </c>
      <c r="AE44">
        <f/>
        <v>4.3820266346738812</v>
      </c>
    </row>
    <row r="46">
      <c r="N46" t="s">
        <v>24</v>
      </c>
    </row>
    <row r="47">
      <c r="A47" s="16"/>
      <c r="B47" s="60" t="s">
        <v>155</v>
      </c>
      <c r="C47" s="60" t="s">
        <v>156</v>
      </c>
      <c r="D47" s="60" t="s">
        <v>157</v>
      </c>
      <c r="E47" s="60" t="s">
        <v>158</v>
      </c>
      <c r="F47" s="60" t="s">
        <v>159</v>
      </c>
      <c r="G47" s="60" t="s">
        <v>160</v>
      </c>
      <c r="H47" s="60" t="s">
        <v>193</v>
      </c>
      <c r="I47" s="60" t="s">
        <v>194</v>
      </c>
      <c r="J47" s="60" t="s">
        <v>195</v>
      </c>
      <c r="M47">
        <v>1</v>
      </c>
      <c r="N47" s="2">
        <f t="shared" ref="N47:O53" si="55">LN(C3)</f>
        <v>4.7004803657924166</v>
      </c>
      <c r="O47" s="2">
        <f>LN(D3)</f>
        <v>3.4011973816621555</v>
      </c>
      <c r="AA47" t="s">
        <v>196</v>
      </c>
    </row>
    <row r="48">
      <c r="A48" s="54">
        <v>1</v>
      </c>
      <c r="B48" s="54">
        <v>6</v>
      </c>
      <c r="C48" s="54">
        <v>110</v>
      </c>
      <c r="D48" s="54">
        <v>30</v>
      </c>
      <c r="E48" s="2">
        <f t="shared" ref="E48:E62" si="56">LN(B48)</f>
        <v>1.791759469228055</v>
      </c>
      <c r="F48" s="2">
        <f t="shared" ref="F48:F62" si="57">LN(C48)</f>
        <v>4.7004803657924166</v>
      </c>
      <c r="G48" s="2">
        <f t="shared" ref="G48:G62" si="58">LN(D48)</f>
        <v>3.4011973816621555</v>
      </c>
      <c r="H48">
        <f t="array" ref="H48:H62">MMULT(M47:O61,R53:R55)</f>
        <v>2.1277558342334029</v>
      </c>
      <c r="I48">
        <f t="shared" ref="I48:I62" si="59">(E48-H48)^2</f>
        <v>0.11289355729680697</v>
      </c>
      <c r="J48">
        <f t="shared" ref="J48:J62" si="60">(H48-$E$63)^2</f>
        <v>1.7256022046904496</v>
      </c>
      <c r="M48" s="2">
        <v>1</v>
      </c>
      <c r="N48" s="2">
        <f t="shared" si="55"/>
        <v>4.7874917427820458</v>
      </c>
      <c r="O48" s="2">
        <f t="shared" si="55"/>
        <v>3.6888794541139363</v>
      </c>
      <c r="R48">
        <f t="array" ref="R48:T50">MMULT(xxt,xx)</f>
        <v>15</v>
      </c>
      <c r="S48">
        <f/>
        <v>76.345894988682446</v>
      </c>
      <c r="T48">
        <f/>
        <v>61.426741574477219</v>
      </c>
      <c r="W48">
        <f t="array" ref="W48:Y50">MINVERSE(R48:T50)</f>
        <v>106.86720496448631</v>
      </c>
      <c r="X48">
        <f/>
        <v>-28.832610635729022</v>
      </c>
      <c r="Y48">
        <f/>
        <v>9.7554155408208576</v>
      </c>
      <c r="AA48">
        <f t="array" ref="AA48:AA50">MMULT(xxt,E48:E62)</f>
        <v>51.620664349385365</v>
      </c>
    </row>
    <row r="49">
      <c r="A49" s="54">
        <v>2</v>
      </c>
      <c r="B49" s="54">
        <v>12</v>
      </c>
      <c r="C49" s="54">
        <v>120</v>
      </c>
      <c r="D49" s="54">
        <v>40</v>
      </c>
      <c r="E49" s="2">
        <f t="shared" si="56"/>
        <v>2.4849066497880004</v>
      </c>
      <c r="F49" s="2">
        <f t="shared" si="57"/>
        <v>4.7874917427820458</v>
      </c>
      <c r="G49" s="2">
        <f t="shared" si="58"/>
        <v>3.6888794541139363</v>
      </c>
      <c r="H49" s="2">
        <f/>
        <v>2.4699495596159657</v>
      </c>
      <c r="I49" s="2">
        <f t="shared" si="59"/>
        <v>0.00022371454641437446</v>
      </c>
      <c r="J49" s="2">
        <f t="shared" si="60"/>
        <v>0.94367248289806449</v>
      </c>
      <c r="K49" s="2"/>
      <c r="L49" s="2"/>
      <c r="M49" s="2">
        <v>1</v>
      </c>
      <c r="N49" s="2">
        <f t="shared" si="55"/>
        <v>4.962844630259907</v>
      </c>
      <c r="O49" s="2">
        <f t="shared" si="55"/>
        <v>3.7376696182833684</v>
      </c>
      <c r="P49" s="2"/>
      <c r="Q49" s="2" t="s">
        <v>197</v>
      </c>
      <c r="R49" s="2">
        <f/>
        <v>76.345894988682446</v>
      </c>
      <c r="S49" s="2">
        <f/>
        <v>389.00369149646855</v>
      </c>
      <c r="T49" s="2">
        <f/>
        <v>313.3766626376858</v>
      </c>
      <c r="U49" s="2"/>
      <c r="V49" s="2" t="s">
        <v>198</v>
      </c>
      <c r="W49" s="2">
        <f/>
        <v>-28.832610635729413</v>
      </c>
      <c r="X49" s="2">
        <f/>
        <v>8.555088536290361</v>
      </c>
      <c r="Y49" s="2">
        <f/>
        <v>-3.5921933317434256</v>
      </c>
      <c r="Z49" s="2"/>
      <c r="AA49" s="2">
        <f/>
        <v>264.15692888828903</v>
      </c>
      <c r="AB49" s="2"/>
      <c r="AC49" s="2"/>
      <c r="AD49" s="2"/>
      <c r="AE49" s="2"/>
      <c r="AF49" s="2"/>
      <c r="AG49" s="2"/>
      <c r="AH49" s="2"/>
    </row>
    <row r="50">
      <c r="A50" s="54">
        <v>3</v>
      </c>
      <c r="B50" s="54">
        <v>19</v>
      </c>
      <c r="C50" s="54">
        <v>143</v>
      </c>
      <c r="D50" s="54">
        <v>42</v>
      </c>
      <c r="E50" s="2">
        <f t="shared" si="56"/>
        <v>2.9444389791664403</v>
      </c>
      <c r="F50" s="2">
        <f t="shared" si="57"/>
        <v>4.962844630259907</v>
      </c>
      <c r="G50" s="2">
        <f t="shared" si="58"/>
        <v>3.7376696182833684</v>
      </c>
      <c r="H50" s="2">
        <f/>
        <v>2.9651111038059565</v>
      </c>
      <c r="I50" s="2">
        <f t="shared" si="59"/>
        <v>0.00042733673711169639</v>
      </c>
      <c r="J50" s="2">
        <f t="shared" si="60"/>
        <v>0.22682979758369068</v>
      </c>
      <c r="K50" s="2"/>
      <c r="L50" s="2"/>
      <c r="M50" s="2">
        <v>1</v>
      </c>
      <c r="N50" s="2">
        <f t="shared" si="55"/>
        <v>5.0106352940962555</v>
      </c>
      <c r="O50" s="2">
        <f t="shared" si="55"/>
        <v>3.6888794541139363</v>
      </c>
      <c r="P50" s="54"/>
      <c r="Q50" s="54"/>
      <c r="R50" s="2">
        <f/>
        <v>61.426741574477219</v>
      </c>
      <c r="S50" s="2">
        <f/>
        <v>313.3766626376858</v>
      </c>
      <c r="T50" s="2">
        <f/>
        <v>253.29142604708554</v>
      </c>
      <c r="U50" s="2"/>
      <c r="V50" s="2"/>
      <c r="W50" s="2">
        <f/>
        <v>9.7554155408213425</v>
      </c>
      <c r="X50" s="2">
        <f/>
        <v>-3.5921933317435206</v>
      </c>
      <c r="Y50" s="2">
        <f/>
        <v>2.0824477824030612</v>
      </c>
      <c r="Z50" s="2"/>
      <c r="AA50" s="2">
        <f/>
        <v>214.02119156567969</v>
      </c>
      <c r="AB50" s="2"/>
      <c r="AC50" s="2"/>
      <c r="AD50" s="2"/>
      <c r="AE50" s="2"/>
      <c r="AF50" s="2"/>
      <c r="AG50" s="2"/>
      <c r="AH50" s="2"/>
    </row>
    <row r="51">
      <c r="A51" s="54">
        <v>4</v>
      </c>
      <c r="B51" s="54">
        <v>25</v>
      </c>
      <c r="C51" s="54">
        <v>150</v>
      </c>
      <c r="D51" s="54">
        <v>40</v>
      </c>
      <c r="E51" s="2">
        <f t="shared" si="56"/>
        <v>3.2188758248682006</v>
      </c>
      <c r="F51" s="2">
        <f t="shared" si="57"/>
        <v>5.0106352940962555</v>
      </c>
      <c r="G51" s="2">
        <f t="shared" si="58"/>
        <v>3.6888794541139363</v>
      </c>
      <c r="H51" s="2">
        <f/>
        <v>3.0773242098034732</v>
      </c>
      <c r="I51" s="2">
        <f t="shared" si="59"/>
        <v>0.020036859727432747</v>
      </c>
      <c r="J51" s="2">
        <f t="shared" si="60"/>
        <v>0.13253488787290882</v>
      </c>
      <c r="K51" s="2"/>
      <c r="L51" s="2"/>
      <c r="M51" s="2">
        <v>1</v>
      </c>
      <c r="N51" s="2">
        <f t="shared" si="55"/>
        <v>5.0238805208462765</v>
      </c>
      <c r="O51" s="2">
        <f t="shared" si="55"/>
        <v>3.9318256327243257</v>
      </c>
      <c r="P51" s="2"/>
      <c r="Q51" s="2"/>
      <c r="R51" s="2"/>
      <c r="S51" s="54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>
      <c r="A52" s="54">
        <v>5</v>
      </c>
      <c r="B52" s="54">
        <v>30</v>
      </c>
      <c r="C52" s="54">
        <v>152</v>
      </c>
      <c r="D52" s="54">
        <v>51</v>
      </c>
      <c r="E52" s="2">
        <f t="shared" si="56"/>
        <v>3.4011973816621555</v>
      </c>
      <c r="F52" s="2">
        <f t="shared" si="57"/>
        <v>5.0238805208462765</v>
      </c>
      <c r="G52" s="2">
        <f t="shared" si="58"/>
        <v>3.9318256327243257</v>
      </c>
      <c r="H52" s="2">
        <f/>
        <v>3.2023502196028848</v>
      </c>
      <c r="I52" s="2">
        <f t="shared" si="59"/>
        <v>0.039540193859025852</v>
      </c>
      <c r="J52" s="2">
        <f t="shared" si="60"/>
        <v>0.057134099714530318</v>
      </c>
      <c r="K52" s="2"/>
      <c r="L52" s="2"/>
      <c r="M52" s="2">
        <v>1</v>
      </c>
      <c r="N52" s="2">
        <f t="shared" si="55"/>
        <v>5.0875963352323836</v>
      </c>
      <c r="O52" s="2">
        <f t="shared" si="55"/>
        <v>4.0775374439057197</v>
      </c>
      <c r="P52" s="2"/>
      <c r="Q52" s="2"/>
      <c r="R52" s="2" t="s">
        <v>174</v>
      </c>
      <c r="S52" s="54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>
      <c r="A53" s="54">
        <v>6</v>
      </c>
      <c r="B53" s="54">
        <v>36</v>
      </c>
      <c r="C53" s="54">
        <v>162</v>
      </c>
      <c r="D53" s="54">
        <v>59</v>
      </c>
      <c r="E53" s="2">
        <f t="shared" si="56"/>
        <v>3.5835189384561099</v>
      </c>
      <c r="F53" s="2">
        <f t="shared" si="57"/>
        <v>5.0875963352323836</v>
      </c>
      <c r="G53" s="2">
        <f t="shared" si="58"/>
        <v>4.0775374439057197</v>
      </c>
      <c r="H53" s="2">
        <f/>
        <v>3.4291421747924931</v>
      </c>
      <c r="I53" s="2">
        <f t="shared" si="59"/>
        <v>0.023832185159252214</v>
      </c>
      <c r="J53" s="2">
        <f t="shared" si="60"/>
        <v>0.00014970619999284373</v>
      </c>
      <c r="K53" s="2"/>
      <c r="L53" s="2"/>
      <c r="M53" s="2">
        <v>1</v>
      </c>
      <c r="N53" s="2">
        <f t="shared" si="55"/>
        <v>5.1929568508902104</v>
      </c>
      <c r="O53" s="2">
        <f t="shared" si="55"/>
        <v>4.0943445622221004</v>
      </c>
      <c r="P53" s="2"/>
      <c r="Q53" s="2"/>
      <c r="R53" s="2">
        <f t="array" ref="R53:R55">MMULT(W48:Y50,AA48:AA50)</f>
        <v>-11.912101672450717</v>
      </c>
      <c r="S53" s="54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>
      <c r="A54" s="54">
        <v>7</v>
      </c>
      <c r="B54" s="54">
        <v>38</v>
      </c>
      <c r="C54" s="54">
        <v>180</v>
      </c>
      <c r="D54" s="54">
        <v>60</v>
      </c>
      <c r="E54" s="2">
        <f t="shared" si="56"/>
        <v>3.6375861597263857</v>
      </c>
      <c r="F54" s="2">
        <f t="shared" si="57"/>
        <v>5.1929568508902104</v>
      </c>
      <c r="G54" s="2">
        <f t="shared" si="58"/>
        <v>4.0943445622221004</v>
      </c>
      <c r="H54" s="2">
        <f/>
        <v>3.7220783109327646</v>
      </c>
      <c r="I54" s="2">
        <f t="shared" si="59"/>
        <v>0.0071389236154816094</v>
      </c>
      <c r="J54" s="2">
        <f t="shared" si="60"/>
        <v>0.078792876041797216</v>
      </c>
      <c r="K54" s="2"/>
      <c r="L54" s="2"/>
      <c r="M54" s="2">
        <v>1</v>
      </c>
      <c r="N54" s="2">
        <f t="shared" ref="N54:O61" si="61">LN(C10)</f>
        <v>5.2040066870767951</v>
      </c>
      <c r="O54" s="2">
        <f t="shared" si="61"/>
        <v>4.1431347263915326</v>
      </c>
      <c r="P54" s="2"/>
      <c r="Q54" s="2"/>
      <c r="R54" s="2">
        <f/>
        <v>2.7219009763462054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>
      <c r="A55" s="54">
        <v>8</v>
      </c>
      <c r="B55" s="54">
        <v>43</v>
      </c>
      <c r="C55" s="54">
        <v>182</v>
      </c>
      <c r="D55" s="54">
        <v>63</v>
      </c>
      <c r="E55" s="2">
        <f t="shared" si="56"/>
        <v>3.7612001156935624</v>
      </c>
      <c r="F55" s="2">
        <f t="shared" si="57"/>
        <v>5.2040066870767951</v>
      </c>
      <c r="G55" s="2">
        <f t="shared" si="58"/>
        <v>4.1431347263915326</v>
      </c>
      <c r="H55" s="2">
        <f/>
        <v>3.7700232193963696</v>
      </c>
      <c r="I55" s="2">
        <f t="shared" si="59"/>
        <v>7.7847158950491104e-05</v>
      </c>
      <c r="J55" s="2">
        <f t="shared" si="60"/>
        <v>0.10800792783856125</v>
      </c>
      <c r="K55" s="2"/>
      <c r="L55" s="2"/>
      <c r="M55" s="2">
        <v>1</v>
      </c>
      <c r="N55" s="2">
        <f t="shared" si="61"/>
        <v>5.1929568508902104</v>
      </c>
      <c r="O55" s="2">
        <f t="shared" si="61"/>
        <v>4.1108738641733114</v>
      </c>
      <c r="P55" s="2"/>
      <c r="Q55" s="2"/>
      <c r="R55" s="2">
        <f/>
        <v>0.36622849836749083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>
      <c r="A56" s="54">
        <v>9</v>
      </c>
      <c r="B56" s="54">
        <v>44</v>
      </c>
      <c r="C56" s="54">
        <v>180</v>
      </c>
      <c r="D56" s="54">
        <v>61</v>
      </c>
      <c r="E56" s="2">
        <f t="shared" si="56"/>
        <v>3.784189633918261</v>
      </c>
      <c r="F56" s="2">
        <f t="shared" si="57"/>
        <v>5.1929568508902104</v>
      </c>
      <c r="G56" s="2">
        <f t="shared" si="58"/>
        <v>4.1108738641733114</v>
      </c>
      <c r="H56" s="2">
        <f/>
        <v>3.7281318123654197</v>
      </c>
      <c r="I56" s="2">
        <f t="shared" si="59"/>
        <v>0.0031424793572502026</v>
      </c>
      <c r="J56" s="2">
        <f t="shared" si="60"/>
        <v>0.082227964950949292</v>
      </c>
      <c r="K56" s="2"/>
      <c r="L56" s="2"/>
      <c r="M56" s="2">
        <v>1</v>
      </c>
      <c r="N56" s="2">
        <f t="shared" si="61"/>
        <v>5.1647859739235145</v>
      </c>
      <c r="O56" s="2">
        <f t="shared" si="61"/>
        <v>4.1431347263915326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>
      <c r="A57" s="54">
        <v>10</v>
      </c>
      <c r="B57" s="54">
        <v>49</v>
      </c>
      <c r="C57" s="54">
        <v>175</v>
      </c>
      <c r="D57" s="54">
        <v>63</v>
      </c>
      <c r="E57" s="2">
        <f t="shared" si="56"/>
        <v>3.8918202981106265</v>
      </c>
      <c r="F57" s="2">
        <f t="shared" si="57"/>
        <v>5.1647859739235145</v>
      </c>
      <c r="G57" s="2">
        <f t="shared" si="58"/>
        <v>4.1431347263915326</v>
      </c>
      <c r="H57" s="2">
        <f/>
        <v>3.6632683219714615</v>
      </c>
      <c r="I57" s="2">
        <f t="shared" si="59"/>
        <v>0.05223600579711745</v>
      </c>
      <c r="J57" s="2">
        <f t="shared" si="60"/>
        <v>0.049235482160300749</v>
      </c>
      <c r="K57" s="2"/>
      <c r="L57" s="2"/>
      <c r="M57" s="2">
        <v>1</v>
      </c>
      <c r="N57" s="2">
        <f t="shared" si="61"/>
        <v>5.2729995585637468</v>
      </c>
      <c r="O57" s="2">
        <f t="shared" si="61"/>
        <v>4.4426512564903167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>
      <c r="A58" s="54">
        <v>11</v>
      </c>
      <c r="B58" s="54">
        <v>50</v>
      </c>
      <c r="C58" s="54">
        <v>195</v>
      </c>
      <c r="D58" s="54">
        <v>85</v>
      </c>
      <c r="E58" s="2">
        <f t="shared" si="56"/>
        <v>3.912023005428146</v>
      </c>
      <c r="F58" s="2">
        <f t="shared" si="57"/>
        <v>5.2729995585637468</v>
      </c>
      <c r="G58" s="2">
        <f t="shared" si="58"/>
        <v>4.4426512564903167</v>
      </c>
      <c r="H58" s="2">
        <f/>
        <v>4.0675064727119512</v>
      </c>
      <c r="I58" s="2">
        <f t="shared" si="59"/>
        <v>0.024175108598594137</v>
      </c>
      <c r="J58" s="2">
        <f t="shared" si="60"/>
        <v>0.39203733607550378</v>
      </c>
      <c r="K58" s="2"/>
      <c r="L58" s="2"/>
      <c r="M58" s="2">
        <v>1</v>
      </c>
      <c r="N58" s="2">
        <f t="shared" si="61"/>
        <v>5.2781146592305168</v>
      </c>
      <c r="O58" s="2">
        <f t="shared" si="61"/>
        <v>4.499809670330265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>
      <c r="A59" s="54">
        <v>12</v>
      </c>
      <c r="B59" s="54">
        <v>52</v>
      </c>
      <c r="C59" s="54">
        <v>196</v>
      </c>
      <c r="D59" s="54">
        <v>90</v>
      </c>
      <c r="E59" s="2">
        <f t="shared" si="56"/>
        <v>3.9512437185814275</v>
      </c>
      <c r="F59" s="2">
        <f t="shared" si="57"/>
        <v>5.2781146592305168</v>
      </c>
      <c r="G59" s="2">
        <f t="shared" si="58"/>
        <v>4.499809670330265</v>
      </c>
      <c r="H59" s="2">
        <f/>
        <v>4.1023623102806139</v>
      </c>
      <c r="I59" s="2">
        <f t="shared" si="59"/>
        <v>0.022836828757145409</v>
      </c>
      <c r="J59" s="2">
        <f t="shared" si="60"/>
        <v>0.43690075643296283</v>
      </c>
      <c r="K59" s="2"/>
      <c r="L59" s="2"/>
      <c r="M59" s="2">
        <v>1</v>
      </c>
      <c r="N59" s="2">
        <f t="shared" si="61"/>
        <v>5.2094861528414214</v>
      </c>
      <c r="O59" s="2">
        <f t="shared" si="61"/>
        <v>4.5849674786705723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>
      <c r="A60" s="54">
        <v>13</v>
      </c>
      <c r="B60" s="54">
        <v>54</v>
      </c>
      <c r="C60" s="54">
        <v>183</v>
      </c>
      <c r="D60" s="54">
        <v>98</v>
      </c>
      <c r="E60" s="2">
        <f t="shared" si="56"/>
        <v>3.9889840465642745</v>
      </c>
      <c r="F60" s="2">
        <f t="shared" si="57"/>
        <v>5.2094861528414214</v>
      </c>
      <c r="G60" s="2">
        <f t="shared" si="58"/>
        <v>4.5849674786705723</v>
      </c>
      <c r="H60" s="2">
        <f/>
        <v>3.9467495280076901</v>
      </c>
      <c r="I60" s="2">
        <f t="shared" si="59"/>
        <v>0.0017837545577064756</v>
      </c>
      <c r="J60" s="2">
        <f t="shared" si="60"/>
        <v>0.25540076207560281</v>
      </c>
      <c r="K60" s="2"/>
      <c r="L60" s="2"/>
      <c r="M60" s="2">
        <v>1</v>
      </c>
      <c r="N60" s="2">
        <f t="shared" si="61"/>
        <v>5.2470240721604862</v>
      </c>
      <c r="O60" s="2">
        <f t="shared" si="61"/>
        <v>4.499809670330265</v>
      </c>
      <c r="P60" s="2"/>
      <c r="Q60" s="2">
        <f t="array" ref="Q60:Q74">MMULT(M47:O61,R53:R55)</f>
        <v>2.1277558342334029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>
      <c r="A61" s="54">
        <v>14</v>
      </c>
      <c r="B61" s="54">
        <v>41</v>
      </c>
      <c r="C61" s="54">
        <v>190</v>
      </c>
      <c r="D61" s="54">
        <v>90</v>
      </c>
      <c r="E61" s="2">
        <f t="shared" si="56"/>
        <v>3.713572066704308</v>
      </c>
      <c r="F61" s="2">
        <f t="shared" si="57"/>
        <v>5.2470240721604862</v>
      </c>
      <c r="G61" s="2">
        <f t="shared" si="58"/>
        <v>4.499809670330265</v>
      </c>
      <c r="H61" s="2">
        <f/>
        <v>4.0177368109795202</v>
      </c>
      <c r="I61" s="2">
        <f t="shared" si="59"/>
        <v>0.092516191660005256</v>
      </c>
      <c r="J61" s="2">
        <f t="shared" si="60"/>
        <v>0.33218991323140562</v>
      </c>
      <c r="K61" s="2"/>
      <c r="L61" s="2"/>
      <c r="M61" s="2">
        <v>1</v>
      </c>
      <c r="N61" s="2">
        <f t="shared" si="61"/>
        <v>5.0106352940962555</v>
      </c>
      <c r="O61" s="2">
        <f t="shared" si="61"/>
        <v>4.3820266346738812</v>
      </c>
      <c r="P61" s="2"/>
      <c r="Q61" s="2">
        <f/>
        <v>2.4699495596159657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>
      <c r="A62" s="54">
        <v>15</v>
      </c>
      <c r="B62" s="54">
        <v>35</v>
      </c>
      <c r="C62" s="54">
        <v>150</v>
      </c>
      <c r="D62" s="54">
        <v>80</v>
      </c>
      <c r="E62" s="2">
        <f t="shared" si="56"/>
        <v>3.5553480614894135</v>
      </c>
      <c r="F62" s="2">
        <f t="shared" si="57"/>
        <v>5.0106352940962555</v>
      </c>
      <c r="G62" s="2">
        <f t="shared" si="58"/>
        <v>4.3820266346738812</v>
      </c>
      <c r="H62" s="2">
        <f/>
        <v>3.3311744608876017</v>
      </c>
      <c r="I62" s="2">
        <f t="shared" si="59"/>
        <v>0.050253803206780634</v>
      </c>
      <c r="J62" s="2">
        <f t="shared" si="60"/>
        <v>0.012144737004009056</v>
      </c>
      <c r="K62" s="2"/>
      <c r="L62" s="2"/>
      <c r="M62" s="2"/>
      <c r="N62" s="2"/>
      <c r="O62" s="2"/>
      <c r="P62" s="2"/>
      <c r="Q62" s="2">
        <f/>
        <v>2.9651111038059565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>
      <c r="A63" s="2"/>
      <c r="B63" s="2"/>
      <c r="C63" s="2"/>
      <c r="D63" s="2"/>
      <c r="E63" s="57">
        <f>AVERAGE(E48:E62)</f>
        <v>3.4413776232923579</v>
      </c>
      <c r="F63" s="57"/>
      <c r="G63" s="57"/>
      <c r="H63" s="57"/>
      <c r="I63" s="57">
        <f>SUM(I48:I62)</f>
        <v>0.45111479003507549</v>
      </c>
      <c r="J63" s="57">
        <f>SUM(J48:J62)</f>
        <v>4.8328609347707285</v>
      </c>
      <c r="K63" s="2"/>
      <c r="L63" s="2"/>
      <c r="M63" s="2"/>
      <c r="N63" s="2"/>
      <c r="O63" s="2"/>
      <c r="P63" s="2"/>
      <c r="Q63" s="2">
        <f/>
        <v>3.0773242098034732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>
        <f/>
        <v>3.2023502196028848</v>
      </c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>
        <f/>
        <v>3.4291421747924931</v>
      </c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 t="s">
        <v>17</v>
      </c>
      <c r="I66" s="2"/>
      <c r="J66" s="2"/>
      <c r="K66" s="2"/>
      <c r="L66" s="2"/>
      <c r="M66" s="2"/>
      <c r="N66" s="2"/>
      <c r="O66" s="2"/>
      <c r="P66" s="2"/>
      <c r="Q66" s="2">
        <f/>
        <v>3.7220783109327646</v>
      </c>
      <c r="R66" s="2"/>
      <c r="S66" s="2"/>
      <c r="T66" s="2"/>
    </row>
    <row r="67">
      <c r="A67" s="2"/>
      <c r="B67" s="2"/>
      <c r="C67" s="2"/>
      <c r="D67" s="2"/>
      <c r="E67" s="64" t="s">
        <v>180</v>
      </c>
      <c r="F67" s="64" t="s">
        <v>181</v>
      </c>
      <c r="G67" s="64" t="s">
        <v>20</v>
      </c>
      <c r="H67" s="64" t="s">
        <v>182</v>
      </c>
      <c r="I67" s="64" t="s">
        <v>183</v>
      </c>
      <c r="J67" s="64" t="s">
        <v>184</v>
      </c>
      <c r="K67" s="2"/>
      <c r="L67" s="2"/>
      <c r="M67" s="2"/>
      <c r="N67" s="2"/>
      <c r="O67" s="2"/>
      <c r="P67" s="2"/>
      <c r="Q67" s="2">
        <f/>
        <v>3.7700232193963696</v>
      </c>
      <c r="R67" s="2"/>
      <c r="S67" s="2"/>
      <c r="T67" s="2"/>
    </row>
    <row r="68">
      <c r="A68" s="2"/>
      <c r="B68" s="2"/>
      <c r="C68" s="2"/>
      <c r="D68" s="2"/>
      <c r="E68" s="35" t="s">
        <v>25</v>
      </c>
      <c r="F68" s="35">
        <v>2</v>
      </c>
      <c r="G68" s="35">
        <f>J63</f>
        <v>4.8328609347707285</v>
      </c>
      <c r="H68" s="35">
        <f t="shared" ref="H68:H69" si="62">G68/F68</f>
        <v>2.4164304673853643</v>
      </c>
      <c r="I68" s="35">
        <f>H68/H69</f>
        <v>64.2789069415564</v>
      </c>
      <c r="J68" s="35">
        <f>_xlfn.F.INV.RT(0.05,F68,F69)</f>
        <v>3.8852938346523942</v>
      </c>
      <c r="K68" s="2">
        <f>G68/G70</f>
        <v>0.91462587764790415</v>
      </c>
      <c r="L68" s="2"/>
      <c r="M68" s="2">
        <f t="array" ref="M68:O70">W48:Y50*$H$69</f>
        <v>4.0174480607658012</v>
      </c>
      <c r="N68" s="2">
        <f/>
        <v>-1.0839014244249985</v>
      </c>
      <c r="O68" s="2">
        <f/>
        <v>0.36673435278352617</v>
      </c>
      <c r="P68" s="2"/>
      <c r="Q68" s="2">
        <f/>
        <v>3.7281318123654197</v>
      </c>
      <c r="R68" s="2"/>
      <c r="S68" s="2"/>
      <c r="T68" s="2"/>
    </row>
    <row r="69">
      <c r="A69" s="2"/>
      <c r="B69" s="2"/>
      <c r="C69" s="2"/>
      <c r="D69" s="2"/>
      <c r="E69" s="35" t="s">
        <v>26</v>
      </c>
      <c r="F69" s="35">
        <v>12</v>
      </c>
      <c r="G69" s="35">
        <f>I63</f>
        <v>0.45111479003507549</v>
      </c>
      <c r="H69" s="35">
        <f t="shared" si="62"/>
        <v>0.037592899169589626</v>
      </c>
      <c r="I69" s="35"/>
      <c r="J69" s="35"/>
      <c r="K69" s="2"/>
      <c r="L69" s="2" t="s">
        <v>187</v>
      </c>
      <c r="M69" s="2">
        <f/>
        <v>-1.0839014244250134</v>
      </c>
      <c r="N69" s="2">
        <f/>
        <v>0.32161058073167564</v>
      </c>
      <c r="O69" s="2">
        <f/>
        <v>-0.13504096171790281</v>
      </c>
      <c r="P69" s="2"/>
      <c r="Q69" s="2">
        <f/>
        <v>3.6632683219714615</v>
      </c>
      <c r="R69" s="2"/>
      <c r="S69" s="2"/>
      <c r="T69" s="2"/>
    </row>
    <row r="70">
      <c r="A70" s="2"/>
      <c r="B70" s="2"/>
      <c r="C70" s="2"/>
      <c r="D70" s="2"/>
      <c r="E70" s="35" t="s">
        <v>27</v>
      </c>
      <c r="F70" s="35">
        <v>14</v>
      </c>
      <c r="G70" s="35">
        <f>G68+G69</f>
        <v>5.2839757248058037</v>
      </c>
      <c r="H70" s="35"/>
      <c r="I70" s="35"/>
      <c r="J70" s="35"/>
      <c r="K70" s="2"/>
      <c r="L70" s="2"/>
      <c r="M70" s="2">
        <f/>
        <v>0.36673435278354438</v>
      </c>
      <c r="N70" s="2">
        <f/>
        <v>-0.13504096171790639</v>
      </c>
      <c r="O70" s="2">
        <f/>
        <v>0.07828524950981379</v>
      </c>
      <c r="P70" s="2"/>
      <c r="Q70" s="2">
        <f/>
        <v>4.0675064727119512</v>
      </c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>
        <f/>
        <v>4.1023623102806139</v>
      </c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68"/>
      <c r="I72" s="2"/>
      <c r="J72" s="2"/>
      <c r="K72" s="2"/>
      <c r="L72" s="2" t="s">
        <v>188</v>
      </c>
      <c r="M72" s="2">
        <f>R54/SQRT(N69)</f>
        <v>4.7996233473288248</v>
      </c>
      <c r="N72" s="2"/>
      <c r="O72" s="2"/>
      <c r="P72" s="2"/>
      <c r="Q72" s="2">
        <f/>
        <v>3.9467495280076901</v>
      </c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68"/>
      <c r="I73" s="2"/>
      <c r="J73" s="2"/>
      <c r="K73" s="2"/>
      <c r="L73" s="2" t="s">
        <v>189</v>
      </c>
      <c r="M73" s="2">
        <f>R55/SQRT(O70)</f>
        <v>1.3089171745743422</v>
      </c>
      <c r="N73" s="2"/>
      <c r="O73" s="2"/>
      <c r="P73" s="2"/>
      <c r="Q73" s="2">
        <f/>
        <v>4.0177368109795202</v>
      </c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68"/>
      <c r="I74" s="2"/>
      <c r="J74" s="2"/>
      <c r="K74" s="2"/>
      <c r="L74" s="2" t="s">
        <v>190</v>
      </c>
      <c r="M74" s="2">
        <f>_xlfn.T.INV.2T(0.05,15-3)</f>
        <v>2.1788128296672284</v>
      </c>
      <c r="N74" s="2"/>
      <c r="O74" s="2"/>
      <c r="P74" s="2"/>
      <c r="Q74" s="2">
        <f/>
        <v>3.3311744608876017</v>
      </c>
      <c r="R74" s="2"/>
      <c r="S74" s="2"/>
      <c r="T74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>
        <f t="array" ref="M77:O79">W48:Y50*$H$69</f>
        <v>4.0174480607658012</v>
      </c>
      <c r="N77" s="2">
        <f/>
        <v>-1.0839014244249985</v>
      </c>
      <c r="O77" s="2">
        <f/>
        <v>0.36673435278352617</v>
      </c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>
        <f/>
        <v>-1.0839014244250134</v>
      </c>
      <c r="N78" s="2">
        <f/>
        <v>0.32161058073167564</v>
      </c>
      <c r="O78" s="2">
        <f/>
        <v>-0.13504096171790281</v>
      </c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>
        <f/>
        <v>0.36673435278354438</v>
      </c>
      <c r="N79" s="2">
        <f/>
        <v>-0.13504096171790639</v>
      </c>
      <c r="O79" s="2">
        <f/>
        <v>0.07828524950981379</v>
      </c>
      <c r="P79" s="2"/>
      <c r="Q79" s="2"/>
      <c r="R79" s="2"/>
      <c r="S79" s="2"/>
      <c r="T79" s="2"/>
    </row>
    <row r="83">
      <c r="I83" s="2"/>
      <c r="J83" s="2"/>
    </row>
    <row r="84">
      <c r="I84" s="2"/>
      <c r="J84" s="2"/>
    </row>
  </sheetData>
  <mergeCells count="1">
    <mergeCell ref="H72:H7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6" activeCellId="0" sqref="H6"/>
    </sheetView>
  </sheetViews>
  <sheetFormatPr defaultRowHeight="14.25"/>
  <cols>
    <col bestFit="1" customWidth="1" min="23" max="23" width="10.81640625"/>
  </cols>
  <sheetData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54">
        <f t="array" ref="V2:AJ5">TRANSPOSE(P5:S19)</f>
        <v>1</v>
      </c>
      <c r="W2" s="54">
        <f/>
        <v>1</v>
      </c>
      <c r="X2" s="54">
        <f/>
        <v>1</v>
      </c>
      <c r="Y2" s="54">
        <f/>
        <v>1</v>
      </c>
      <c r="Z2" s="54">
        <f/>
        <v>1</v>
      </c>
      <c r="AA2" s="54">
        <f/>
        <v>1</v>
      </c>
      <c r="AB2" s="54">
        <f/>
        <v>1</v>
      </c>
      <c r="AC2" s="54">
        <f/>
        <v>1</v>
      </c>
      <c r="AD2" s="54">
        <f/>
        <v>1</v>
      </c>
      <c r="AE2" s="54">
        <f/>
        <v>1</v>
      </c>
      <c r="AF2" s="54">
        <f/>
        <v>1</v>
      </c>
      <c r="AG2" s="54">
        <f/>
        <v>1</v>
      </c>
      <c r="AH2" s="54">
        <f/>
        <v>1</v>
      </c>
      <c r="AI2" s="54">
        <f/>
        <v>1</v>
      </c>
      <c r="AJ2" s="54">
        <f/>
        <v>1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4">
        <f/>
        <v>4.7004803657924166</v>
      </c>
      <c r="W3" s="54">
        <f/>
        <v>4.7874917427820458</v>
      </c>
      <c r="X3" s="54">
        <f/>
        <v>4.962844630259907</v>
      </c>
      <c r="Y3" s="54">
        <f/>
        <v>5.0106352940962555</v>
      </c>
      <c r="Z3" s="54">
        <f/>
        <v>5.0238805208462765</v>
      </c>
      <c r="AA3" s="54">
        <f/>
        <v>5.0875963352323836</v>
      </c>
      <c r="AB3" s="54">
        <f/>
        <v>5.1929568508902104</v>
      </c>
      <c r="AC3" s="54">
        <f/>
        <v>5.2040066870767951</v>
      </c>
      <c r="AD3" s="54">
        <f/>
        <v>5.1929568508902104</v>
      </c>
      <c r="AE3" s="54">
        <f/>
        <v>5.1647859739235145</v>
      </c>
      <c r="AF3" s="54">
        <f/>
        <v>5.2729995585637468</v>
      </c>
      <c r="AG3" s="54">
        <f/>
        <v>5.2781146592305168</v>
      </c>
      <c r="AH3" s="54">
        <f/>
        <v>5.2094861528414214</v>
      </c>
      <c r="AI3" s="54">
        <f/>
        <v>5.2470240721604862</v>
      </c>
      <c r="AJ3" s="54">
        <f/>
        <v>5.0106352940962555</v>
      </c>
    </row>
    <row r="4">
      <c r="A4" s="69" t="s">
        <v>151</v>
      </c>
      <c r="B4" s="69" t="s">
        <v>152</v>
      </c>
      <c r="C4" s="69" t="s">
        <v>153</v>
      </c>
      <c r="D4" s="69" t="s">
        <v>154</v>
      </c>
      <c r="E4" s="57"/>
      <c r="F4" s="57"/>
      <c r="G4" s="57"/>
      <c r="H4" s="57"/>
      <c r="I4" s="57"/>
      <c r="J4" s="57"/>
      <c r="K4" s="57"/>
      <c r="L4" s="2"/>
      <c r="M4" s="2"/>
      <c r="N4" s="2"/>
      <c r="O4" s="2"/>
      <c r="P4" s="2"/>
      <c r="Q4" s="2"/>
      <c r="R4" s="2" t="s">
        <v>0</v>
      </c>
      <c r="S4" s="2"/>
      <c r="T4" s="2"/>
      <c r="U4" s="2" t="s">
        <v>199</v>
      </c>
      <c r="V4" s="54">
        <f/>
        <v>3.4011973816621555</v>
      </c>
      <c r="W4" s="54">
        <f/>
        <v>3.6888794541139363</v>
      </c>
      <c r="X4" s="54">
        <f/>
        <v>3.7376696182833684</v>
      </c>
      <c r="Y4" s="54">
        <f/>
        <v>3.6888794541139363</v>
      </c>
      <c r="Z4" s="54">
        <f/>
        <v>3.9318256327243257</v>
      </c>
      <c r="AA4" s="54">
        <f/>
        <v>4.0775374439057197</v>
      </c>
      <c r="AB4" s="54">
        <f/>
        <v>4.0943445622221004</v>
      </c>
      <c r="AC4" s="54">
        <f/>
        <v>4.1431347263915326</v>
      </c>
      <c r="AD4" s="54">
        <f/>
        <v>4.1108738641733114</v>
      </c>
      <c r="AE4" s="54">
        <f/>
        <v>4.1431347263915326</v>
      </c>
      <c r="AF4" s="54">
        <f/>
        <v>4.4426512564903167</v>
      </c>
      <c r="AG4" s="54">
        <f/>
        <v>4.499809670330265</v>
      </c>
      <c r="AH4" s="54">
        <f/>
        <v>4.5849674786705723</v>
      </c>
      <c r="AI4" s="54">
        <f/>
        <v>4.499809670330265</v>
      </c>
      <c r="AJ4" s="54">
        <f/>
        <v>4.3820266346738812</v>
      </c>
    </row>
    <row r="5">
      <c r="A5" s="57"/>
      <c r="B5" s="69" t="s">
        <v>155</v>
      </c>
      <c r="C5" s="69" t="s">
        <v>156</v>
      </c>
      <c r="D5" s="69" t="s">
        <v>157</v>
      </c>
      <c r="E5" s="69" t="s">
        <v>1</v>
      </c>
      <c r="F5" s="69" t="s">
        <v>159</v>
      </c>
      <c r="G5" s="69" t="s">
        <v>160</v>
      </c>
      <c r="H5" s="69" t="s">
        <v>200</v>
      </c>
      <c r="I5" s="69" t="s">
        <v>201</v>
      </c>
      <c r="J5" s="69" t="s">
        <v>202</v>
      </c>
      <c r="K5" s="69" t="s">
        <v>203</v>
      </c>
      <c r="L5" s="2"/>
      <c r="M5" s="2"/>
      <c r="N5" s="2"/>
      <c r="O5" s="2"/>
      <c r="P5" s="54">
        <v>1</v>
      </c>
      <c r="Q5" s="54">
        <v>4.7004803657924166</v>
      </c>
      <c r="R5" s="54">
        <v>3.4011973816621555</v>
      </c>
      <c r="S5" s="54">
        <v>1.6881362728504363</v>
      </c>
      <c r="T5" s="2"/>
      <c r="U5" s="2"/>
      <c r="V5" s="54">
        <f/>
        <v>1.6881362728504363</v>
      </c>
      <c r="W5" s="54">
        <f/>
        <v>1.2069489608125816</v>
      </c>
      <c r="X5" s="54">
        <f/>
        <v>1.5010538099717115</v>
      </c>
      <c r="Y5" s="54">
        <f/>
        <v>1.7470385005273663</v>
      </c>
      <c r="Z5" s="54">
        <f/>
        <v>1.1925838786710463</v>
      </c>
      <c r="AA5" s="54">
        <f/>
        <v>1.0202189639480495</v>
      </c>
      <c r="AB5" s="54">
        <f/>
        <v>1.2069489608125827</v>
      </c>
      <c r="AC5" s="54">
        <f/>
        <v>1.1254493169681934</v>
      </c>
      <c r="AD5" s="54">
        <f/>
        <v>1.1709035901421647</v>
      </c>
      <c r="AE5" s="54">
        <f/>
        <v>1.0437712715836549</v>
      </c>
      <c r="AF5" s="54">
        <f/>
        <v>0.68947830275622835</v>
      </c>
      <c r="AG5" s="54">
        <f/>
        <v>0.60575865574702104</v>
      </c>
      <c r="AH5" s="54">
        <f/>
        <v>0.39002357438811514</v>
      </c>
      <c r="AI5" s="54">
        <f/>
        <v>0.55832936230249519</v>
      </c>
      <c r="AJ5" s="54">
        <f/>
        <v>0.39514884670079459</v>
      </c>
    </row>
    <row r="6">
      <c r="A6" s="54">
        <v>1</v>
      </c>
      <c r="B6" s="54">
        <v>6</v>
      </c>
      <c r="C6" s="54">
        <v>110</v>
      </c>
      <c r="D6" s="54">
        <v>30</v>
      </c>
      <c r="E6" s="54">
        <f t="shared" ref="E6:E20" si="63">LN(B6)</f>
        <v>1.791759469228055</v>
      </c>
      <c r="F6" s="54">
        <f t="shared" ref="F6:F20" si="64">LN(C6)</f>
        <v>4.7004803657924166</v>
      </c>
      <c r="G6" s="54">
        <f t="shared" ref="G6:G20" si="65">LN(D6)</f>
        <v>3.4011973816621555</v>
      </c>
      <c r="H6" s="54"/>
      <c r="I6" s="54">
        <f t="array" ref="I6:I20">MMULT(P5:S19,V24:V27)</f>
        <v>2.1165074373993931</v>
      </c>
      <c r="J6" s="54">
        <f t="shared" ref="J6:J20" si="66">(E6-I6)^2</f>
        <v>0.10546124283141244</v>
      </c>
      <c r="K6" s="54">
        <f t="shared" ref="K6:K20" si="67">(I6-$E$21)^2</f>
        <v>1.7552810094680591</v>
      </c>
      <c r="L6" s="2"/>
      <c r="M6" s="2"/>
      <c r="N6" s="2"/>
      <c r="O6" s="2"/>
      <c r="P6" s="54">
        <v>1</v>
      </c>
      <c r="Q6" s="54">
        <v>4.7874917427820458</v>
      </c>
      <c r="R6" s="54">
        <v>3.6888794541139363</v>
      </c>
      <c r="S6" s="54">
        <v>1.2069489608125816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54">
        <v>2</v>
      </c>
      <c r="B7" s="54">
        <v>12</v>
      </c>
      <c r="C7" s="54">
        <v>120</v>
      </c>
      <c r="D7" s="54">
        <v>40</v>
      </c>
      <c r="E7" s="54">
        <f t="shared" si="63"/>
        <v>2.4849066497880004</v>
      </c>
      <c r="F7" s="54">
        <f t="shared" si="64"/>
        <v>4.7874917427820458</v>
      </c>
      <c r="G7" s="54">
        <f t="shared" si="65"/>
        <v>3.6888794541139363</v>
      </c>
      <c r="H7" s="54">
        <f t="shared" ref="H7:H20" si="68">(LN(C7)-LN(D7))^2</f>
        <v>1.2069489608125816</v>
      </c>
      <c r="I7" s="54">
        <f/>
        <v>2.49818783608118</v>
      </c>
      <c r="J7" s="54">
        <f t="shared" si="66"/>
        <v>0.00017638990935414295</v>
      </c>
      <c r="K7" s="54">
        <f t="shared" si="67"/>
        <v>0.88960697469946692</v>
      </c>
      <c r="L7" s="2"/>
      <c r="M7" s="2"/>
      <c r="N7" s="2"/>
      <c r="O7" s="2"/>
      <c r="P7" s="54">
        <v>1</v>
      </c>
      <c r="Q7" s="54">
        <v>4.962844630259907</v>
      </c>
      <c r="R7" s="54">
        <v>3.7376696182833684</v>
      </c>
      <c r="S7" s="54">
        <v>1.5010538099717115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54">
        <v>3</v>
      </c>
      <c r="B8" s="54">
        <v>19</v>
      </c>
      <c r="C8" s="54">
        <v>143</v>
      </c>
      <c r="D8" s="54">
        <v>42</v>
      </c>
      <c r="E8" s="54">
        <f t="shared" si="63"/>
        <v>2.9444389791664403</v>
      </c>
      <c r="F8" s="54">
        <f t="shared" si="64"/>
        <v>4.962844630259907</v>
      </c>
      <c r="G8" s="54">
        <f t="shared" si="65"/>
        <v>3.7376696182833684</v>
      </c>
      <c r="H8" s="54">
        <f t="shared" si="68"/>
        <v>1.5010538099717115</v>
      </c>
      <c r="I8" s="54">
        <f/>
        <v>2.9575218000984296</v>
      </c>
      <c r="J8" s="54">
        <f t="shared" si="66"/>
        <v>0.00017116020353849775</v>
      </c>
      <c r="K8" s="54">
        <f t="shared" si="67"/>
        <v>0.23411645763867397</v>
      </c>
      <c r="L8" s="2"/>
      <c r="M8" s="2"/>
      <c r="N8" s="2"/>
      <c r="O8" s="2"/>
      <c r="P8" s="54">
        <v>1</v>
      </c>
      <c r="Q8" s="54">
        <v>5.0106352940962555</v>
      </c>
      <c r="R8" s="54">
        <v>3.6888794541139363</v>
      </c>
      <c r="S8" s="54">
        <v>1.7470385005273663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54">
        <v>4</v>
      </c>
      <c r="B9" s="54">
        <v>25</v>
      </c>
      <c r="C9" s="54">
        <v>150</v>
      </c>
      <c r="D9" s="54">
        <v>40</v>
      </c>
      <c r="E9" s="54">
        <f t="shared" si="63"/>
        <v>3.2188758248682006</v>
      </c>
      <c r="F9" s="54">
        <f t="shared" si="64"/>
        <v>5.0106352940962555</v>
      </c>
      <c r="G9" s="54">
        <f t="shared" si="65"/>
        <v>3.6888794541139363</v>
      </c>
      <c r="H9" s="54">
        <f t="shared" si="68"/>
        <v>1.7470385005273663</v>
      </c>
      <c r="I9" s="54">
        <f/>
        <v>3.0390767754340784</v>
      </c>
      <c r="J9" s="54">
        <f t="shared" si="66"/>
        <v>0.032327698177413905</v>
      </c>
      <c r="K9" s="54">
        <f t="shared" si="67"/>
        <v>0.16184597218749053</v>
      </c>
      <c r="L9" s="2"/>
      <c r="M9" s="2"/>
      <c r="N9" s="2"/>
      <c r="O9" s="2"/>
      <c r="P9" s="54">
        <v>1</v>
      </c>
      <c r="Q9" s="54">
        <v>5.0238805208462765</v>
      </c>
      <c r="R9" s="54">
        <v>3.9318256327243257</v>
      </c>
      <c r="S9" s="54">
        <v>1.1925838786710463</v>
      </c>
      <c r="T9" s="2"/>
      <c r="U9" s="2"/>
      <c r="V9" s="54">
        <f t="array" ref="V9:Y12">MMULT(V2:AJ5,P5:S19)</f>
        <v>15</v>
      </c>
      <c r="W9" s="54">
        <f/>
        <v>76.345894988682446</v>
      </c>
      <c r="X9" s="54">
        <f/>
        <v>61.426741574477219</v>
      </c>
      <c r="Y9" s="54">
        <f/>
        <v>15.541792268182439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54">
        <v>5</v>
      </c>
      <c r="B10" s="54">
        <v>30</v>
      </c>
      <c r="C10" s="54">
        <v>152</v>
      </c>
      <c r="D10" s="54">
        <v>51</v>
      </c>
      <c r="E10" s="54">
        <f t="shared" si="63"/>
        <v>3.4011973816621555</v>
      </c>
      <c r="F10" s="54">
        <f t="shared" si="64"/>
        <v>5.0238805208462765</v>
      </c>
      <c r="G10" s="54">
        <f t="shared" si="65"/>
        <v>3.9318256327243257</v>
      </c>
      <c r="H10" s="54">
        <f t="shared" si="68"/>
        <v>1.1925838786710463</v>
      </c>
      <c r="I10" s="54">
        <f/>
        <v>3.2163401548824524</v>
      </c>
      <c r="J10" s="54">
        <f t="shared" si="66"/>
        <v>0.034172194292682569</v>
      </c>
      <c r="K10" s="54">
        <f t="shared" si="67"/>
        <v>0.050641862188339201</v>
      </c>
      <c r="L10" s="2"/>
      <c r="M10" s="2"/>
      <c r="N10" s="2"/>
      <c r="O10" s="2"/>
      <c r="P10" s="54">
        <v>1</v>
      </c>
      <c r="Q10" s="54">
        <v>5.0875963352323836</v>
      </c>
      <c r="R10" s="54">
        <v>4.0775374439057197</v>
      </c>
      <c r="S10" s="54">
        <v>1.0202189639480495</v>
      </c>
      <c r="T10" s="2"/>
      <c r="U10" s="2"/>
      <c r="V10" s="54">
        <f/>
        <v>76.345894988682446</v>
      </c>
      <c r="W10" s="54">
        <f/>
        <v>389.00369149646855</v>
      </c>
      <c r="X10" s="54">
        <f/>
        <v>313.3766626376858</v>
      </c>
      <c r="Y10" s="54">
        <f/>
        <v>78.468446268943723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54">
        <v>6</v>
      </c>
      <c r="B11" s="54">
        <v>36</v>
      </c>
      <c r="C11" s="54">
        <v>162</v>
      </c>
      <c r="D11" s="54">
        <v>59</v>
      </c>
      <c r="E11" s="54">
        <f t="shared" si="63"/>
        <v>3.5835189384561099</v>
      </c>
      <c r="F11" s="54">
        <f t="shared" si="64"/>
        <v>5.0875963352323836</v>
      </c>
      <c r="G11" s="54">
        <f t="shared" si="65"/>
        <v>4.0775374439057197</v>
      </c>
      <c r="H11" s="54">
        <f t="shared" si="68"/>
        <v>1.0202189639480495</v>
      </c>
      <c r="I11" s="54">
        <f/>
        <v>3.4475165348358972</v>
      </c>
      <c r="J11" s="54">
        <f t="shared" si="66"/>
        <v>0.018496653790475263</v>
      </c>
      <c r="K11" s="54">
        <f t="shared" si="67"/>
        <v>3.7686234939399998e-05</v>
      </c>
      <c r="L11" s="2"/>
      <c r="M11" s="2"/>
      <c r="N11" s="2"/>
      <c r="O11" s="2"/>
      <c r="P11" s="54">
        <v>1</v>
      </c>
      <c r="Q11" s="54">
        <v>5.1929568508902104</v>
      </c>
      <c r="R11" s="54">
        <v>4.0943445622221004</v>
      </c>
      <c r="S11" s="54">
        <v>1.2069489608125827</v>
      </c>
      <c r="T11" s="2"/>
      <c r="U11" s="54" t="s">
        <v>204</v>
      </c>
      <c r="V11" s="54">
        <f/>
        <v>61.426741574477219</v>
      </c>
      <c r="W11" s="54">
        <f/>
        <v>313.3766626376858</v>
      </c>
      <c r="X11" s="54">
        <f/>
        <v>253.29142604708554</v>
      </c>
      <c r="Y11" s="54">
        <f/>
        <v>61.661603810291055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54">
        <v>7</v>
      </c>
      <c r="B12" s="54">
        <v>38</v>
      </c>
      <c r="C12" s="54">
        <v>180</v>
      </c>
      <c r="D12" s="54">
        <v>60</v>
      </c>
      <c r="E12" s="54">
        <f t="shared" si="63"/>
        <v>3.6375861597263857</v>
      </c>
      <c r="F12" s="54">
        <f t="shared" si="64"/>
        <v>5.1929568508902104</v>
      </c>
      <c r="G12" s="54">
        <f t="shared" si="65"/>
        <v>4.0943445622221004</v>
      </c>
      <c r="H12" s="54">
        <f t="shared" si="68"/>
        <v>1.2069489608125827</v>
      </c>
      <c r="I12" s="54">
        <f/>
        <v>3.7243067240414223</v>
      </c>
      <c r="J12" s="54">
        <f t="shared" si="66"/>
        <v>0.0075204562751184012</v>
      </c>
      <c r="K12" s="54">
        <f t="shared" si="67"/>
        <v>0.080048876050674234</v>
      </c>
      <c r="L12" s="2"/>
      <c r="M12" s="2"/>
      <c r="N12" s="2"/>
      <c r="O12" s="2"/>
      <c r="P12" s="54">
        <v>1</v>
      </c>
      <c r="Q12" s="54">
        <v>5.2040066870767951</v>
      </c>
      <c r="R12" s="54">
        <v>4.1431347263915326</v>
      </c>
      <c r="S12" s="54">
        <v>1.1254493169681934</v>
      </c>
      <c r="T12" s="2"/>
      <c r="U12" s="2"/>
      <c r="V12" s="54">
        <f/>
        <v>15.541792268182439</v>
      </c>
      <c r="W12" s="54">
        <f/>
        <v>78.468446268943723</v>
      </c>
      <c r="X12" s="54">
        <f/>
        <v>61.661603810291055</v>
      </c>
      <c r="Y12" s="54">
        <f/>
        <v>18.721091173823261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54">
        <v>8</v>
      </c>
      <c r="B13" s="54">
        <v>43</v>
      </c>
      <c r="C13" s="54">
        <v>182</v>
      </c>
      <c r="D13" s="54">
        <v>63</v>
      </c>
      <c r="E13" s="54">
        <f t="shared" si="63"/>
        <v>3.7612001156935624</v>
      </c>
      <c r="F13" s="54">
        <f t="shared" si="64"/>
        <v>5.2040066870767951</v>
      </c>
      <c r="G13" s="54">
        <f t="shared" si="65"/>
        <v>4.1431347263915326</v>
      </c>
      <c r="H13" s="54">
        <f t="shared" si="68"/>
        <v>1.1254493169681934</v>
      </c>
      <c r="I13" s="54">
        <f/>
        <v>3.7763297905800139</v>
      </c>
      <c r="J13" s="54">
        <f t="shared" si="66"/>
        <v>0.00022890706216972305</v>
      </c>
      <c r="K13" s="54">
        <f t="shared" si="67"/>
        <v>0.11219295437069796</v>
      </c>
      <c r="L13" s="2"/>
      <c r="M13" s="2"/>
      <c r="N13" s="2"/>
      <c r="O13" s="2"/>
      <c r="P13" s="54">
        <v>1</v>
      </c>
      <c r="Q13" s="54">
        <v>5.1929568508902104</v>
      </c>
      <c r="R13" s="54">
        <v>4.1108738641733114</v>
      </c>
      <c r="S13" s="54">
        <v>1.1709035901421647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54">
        <v>9</v>
      </c>
      <c r="B14" s="54">
        <v>44</v>
      </c>
      <c r="C14" s="54">
        <v>180</v>
      </c>
      <c r="D14" s="54">
        <v>61</v>
      </c>
      <c r="E14" s="54">
        <f t="shared" si="63"/>
        <v>3.784189633918261</v>
      </c>
      <c r="F14" s="54">
        <f t="shared" si="64"/>
        <v>5.1929568508902104</v>
      </c>
      <c r="G14" s="54">
        <f t="shared" si="65"/>
        <v>4.1108738641733114</v>
      </c>
      <c r="H14" s="54">
        <f t="shared" si="68"/>
        <v>1.1709035901421647</v>
      </c>
      <c r="I14" s="54">
        <f/>
        <v>3.7326005501410475</v>
      </c>
      <c r="J14" s="54">
        <f t="shared" si="66"/>
        <v>0.0026614335649723527</v>
      </c>
      <c r="K14" s="54">
        <f t="shared" si="67"/>
        <v>0.084810793122317249</v>
      </c>
      <c r="L14" s="2"/>
      <c r="M14" s="2"/>
      <c r="N14" s="2"/>
      <c r="O14" s="2"/>
      <c r="P14" s="54">
        <v>1</v>
      </c>
      <c r="Q14" s="54">
        <v>5.1647859739235145</v>
      </c>
      <c r="R14" s="54">
        <v>4.1431347263915326</v>
      </c>
      <c r="S14" s="54">
        <v>1.0437712715836549</v>
      </c>
      <c r="T14" s="2"/>
      <c r="U14" s="2"/>
      <c r="V14" s="54">
        <f t="array" ref="V14:Y17">MINVERSE(V9:Y12)</f>
        <v>106.86976397271836</v>
      </c>
      <c r="W14" s="54">
        <f/>
        <v>-29.396171112955386</v>
      </c>
      <c r="X14" s="54">
        <f/>
        <v>10.371037507002821</v>
      </c>
      <c r="Y14" s="54">
        <f/>
        <v>0.33274749637468165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54">
        <v>10</v>
      </c>
      <c r="B15" s="54">
        <v>49</v>
      </c>
      <c r="C15" s="54">
        <v>175</v>
      </c>
      <c r="D15" s="54">
        <v>63</v>
      </c>
      <c r="E15" s="54">
        <f t="shared" si="63"/>
        <v>3.8918202981106265</v>
      </c>
      <c r="F15" s="54">
        <f t="shared" si="64"/>
        <v>5.1647859739235145</v>
      </c>
      <c r="G15" s="54">
        <f t="shared" si="65"/>
        <v>4.1431347263915326</v>
      </c>
      <c r="H15" s="54">
        <f t="shared" si="68"/>
        <v>1.0437712715836549</v>
      </c>
      <c r="I15" s="54">
        <f/>
        <v>3.6758280210190488</v>
      </c>
      <c r="J15" s="54">
        <f t="shared" si="66"/>
        <v>0.046652663763204857</v>
      </c>
      <c r="K15" s="54">
        <f t="shared" si="67"/>
        <v>0.054966988994203582</v>
      </c>
      <c r="L15" s="2"/>
      <c r="M15" s="2"/>
      <c r="N15" s="2"/>
      <c r="O15" s="2"/>
      <c r="P15" s="54">
        <v>1</v>
      </c>
      <c r="Q15" s="54">
        <v>5.2729995585637468</v>
      </c>
      <c r="R15" s="54">
        <v>4.4426512564903167</v>
      </c>
      <c r="S15" s="54">
        <v>0.68947830275622835</v>
      </c>
      <c r="T15" s="2"/>
      <c r="U15" s="2"/>
      <c r="V15" s="54">
        <f/>
        <v>-29.396171113012244</v>
      </c>
      <c r="W15" s="54">
        <f/>
        <v>132.66583095058544</v>
      </c>
      <c r="X15" s="54">
        <f/>
        <v>-139.1682359339076</v>
      </c>
      <c r="Y15" s="54">
        <f/>
        <v>-73.279693094861472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54">
        <v>11</v>
      </c>
      <c r="B16" s="54">
        <v>50</v>
      </c>
      <c r="C16" s="54">
        <v>195</v>
      </c>
      <c r="D16" s="54">
        <v>85</v>
      </c>
      <c r="E16" s="54">
        <f t="shared" si="63"/>
        <v>3.912023005428146</v>
      </c>
      <c r="F16" s="54">
        <f t="shared" si="64"/>
        <v>5.2729995585637468</v>
      </c>
      <c r="G16" s="54">
        <f t="shared" si="65"/>
        <v>4.4426512564903167</v>
      </c>
      <c r="H16" s="54">
        <f t="shared" si="68"/>
        <v>0.68947830275622835</v>
      </c>
      <c r="I16" s="54">
        <f/>
        <v>4.0732720800483779</v>
      </c>
      <c r="J16" s="54">
        <f t="shared" si="66"/>
        <v>0.026001264065881137</v>
      </c>
      <c r="K16" s="54">
        <f t="shared" si="67"/>
        <v>0.39929060447898573</v>
      </c>
      <c r="L16" s="2"/>
      <c r="M16" s="2"/>
      <c r="N16" s="2"/>
      <c r="O16" s="2"/>
      <c r="P16" s="54">
        <v>1</v>
      </c>
      <c r="Q16" s="54">
        <v>5.2781146592305168</v>
      </c>
      <c r="R16" s="54">
        <v>4.499809670330265</v>
      </c>
      <c r="S16" s="54">
        <v>0.60575865574702104</v>
      </c>
      <c r="T16" s="2"/>
      <c r="U16" s="54" t="s">
        <v>205</v>
      </c>
      <c r="V16" s="54">
        <f/>
        <v>10.371037507064603</v>
      </c>
      <c r="W16" s="54">
        <f/>
        <v>-139.16823593391911</v>
      </c>
      <c r="X16" s="54">
        <f/>
        <v>150.18295036668428</v>
      </c>
      <c r="Y16" s="54">
        <f/>
        <v>80.04924150513321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54">
        <v>12</v>
      </c>
      <c r="B17" s="54">
        <v>52</v>
      </c>
      <c r="C17" s="54">
        <v>196</v>
      </c>
      <c r="D17" s="54">
        <v>90</v>
      </c>
      <c r="E17" s="54">
        <f t="shared" si="63"/>
        <v>3.9512437185814275</v>
      </c>
      <c r="F17" s="54">
        <f t="shared" si="64"/>
        <v>5.2781146592305168</v>
      </c>
      <c r="G17" s="54">
        <f t="shared" si="65"/>
        <v>4.499809670330265</v>
      </c>
      <c r="H17" s="54">
        <f t="shared" si="68"/>
        <v>0.60575865574702104</v>
      </c>
      <c r="I17" s="54">
        <f/>
        <v>4.1026475006738696</v>
      </c>
      <c r="J17" s="54">
        <f t="shared" si="66"/>
        <v>0.022923105231895689</v>
      </c>
      <c r="K17" s="54">
        <f t="shared" si="67"/>
        <v>0.43727785073215963</v>
      </c>
      <c r="L17" s="2"/>
      <c r="M17" s="2"/>
      <c r="N17" s="2"/>
      <c r="O17" s="2"/>
      <c r="P17" s="54">
        <v>1</v>
      </c>
      <c r="Q17" s="54">
        <v>5.2094861528414214</v>
      </c>
      <c r="R17" s="54">
        <v>4.5849674786705723</v>
      </c>
      <c r="S17" s="54">
        <v>0.39002357438811514</v>
      </c>
      <c r="T17" s="2"/>
      <c r="U17" s="2"/>
      <c r="V17" s="54">
        <f/>
        <v>0.33274749640791546</v>
      </c>
      <c r="W17" s="54">
        <f/>
        <v>-73.279693094870439</v>
      </c>
      <c r="X17" s="54">
        <f/>
        <v>80.049241505136237</v>
      </c>
      <c r="Y17" s="54">
        <f/>
        <v>43.267112222666363</v>
      </c>
    </row>
    <row r="18">
      <c r="A18" s="54">
        <v>13</v>
      </c>
      <c r="B18" s="54">
        <v>54</v>
      </c>
      <c r="C18" s="54">
        <v>183</v>
      </c>
      <c r="D18" s="54">
        <v>98</v>
      </c>
      <c r="E18" s="54">
        <f t="shared" si="63"/>
        <v>3.9889840465642745</v>
      </c>
      <c r="F18" s="54">
        <f t="shared" si="64"/>
        <v>5.2094861528414214</v>
      </c>
      <c r="G18" s="54">
        <f t="shared" si="65"/>
        <v>4.5849674786705723</v>
      </c>
      <c r="H18" s="54">
        <f t="shared" si="68"/>
        <v>0.39002357438811514</v>
      </c>
      <c r="I18" s="54">
        <f/>
        <v>3.923234238582757</v>
      </c>
      <c r="J18" s="54">
        <f t="shared" si="66"/>
        <v>0.0043230372496064259</v>
      </c>
      <c r="K18" s="54">
        <f t="shared" si="67"/>
        <v>0.23218579769911971</v>
      </c>
      <c r="L18" s="2"/>
      <c r="M18" s="2"/>
      <c r="N18" s="2"/>
      <c r="O18" s="2"/>
      <c r="P18" s="54">
        <v>1</v>
      </c>
      <c r="Q18" s="54">
        <v>5.2470240721604862</v>
      </c>
      <c r="R18" s="54">
        <v>4.499809670330265</v>
      </c>
      <c r="S18" s="54">
        <v>0.55832936230249519</v>
      </c>
      <c r="T18" s="2"/>
      <c r="U18" s="2"/>
      <c r="V18" s="2"/>
      <c r="W18" s="2"/>
      <c r="X18" s="2"/>
      <c r="Y18" s="2"/>
    </row>
    <row r="19">
      <c r="A19" s="54">
        <v>14</v>
      </c>
      <c r="B19" s="54">
        <v>41</v>
      </c>
      <c r="C19" s="54">
        <v>190</v>
      </c>
      <c r="D19" s="54">
        <v>90</v>
      </c>
      <c r="E19" s="54">
        <f t="shared" si="63"/>
        <v>3.713572066704308</v>
      </c>
      <c r="F19" s="54">
        <f t="shared" si="64"/>
        <v>5.2470240721604862</v>
      </c>
      <c r="G19" s="54">
        <f t="shared" si="65"/>
        <v>4.499809670330265</v>
      </c>
      <c r="H19" s="54">
        <f t="shared" si="68"/>
        <v>0.55832936230249519</v>
      </c>
      <c r="I19" s="54">
        <f/>
        <v>4.0158787194147685</v>
      </c>
      <c r="J19" s="54">
        <f t="shared" si="66"/>
        <v>0.091389312273002996</v>
      </c>
      <c r="K19" s="54">
        <f t="shared" si="67"/>
        <v>0.33005150944585132</v>
      </c>
      <c r="L19" s="2"/>
      <c r="M19" s="2"/>
      <c r="N19" s="2"/>
      <c r="O19" s="2"/>
      <c r="P19" s="54">
        <v>1</v>
      </c>
      <c r="Q19" s="54">
        <v>5.0106352940962555</v>
      </c>
      <c r="R19" s="54">
        <v>4.3820266346738812</v>
      </c>
      <c r="S19" s="54">
        <v>0.39514884670079459</v>
      </c>
      <c r="T19" s="2"/>
      <c r="U19" s="54" t="s">
        <v>206</v>
      </c>
      <c r="V19" s="54">
        <f t="array" ref="V19:V22">MMULT(V2:AJ5,E6:E20)</f>
        <v>51.620664349385365</v>
      </c>
      <c r="W19" s="2"/>
      <c r="X19" s="2"/>
      <c r="Y19" s="2"/>
    </row>
    <row r="20">
      <c r="A20" s="54">
        <v>15</v>
      </c>
      <c r="B20" s="54">
        <v>35</v>
      </c>
      <c r="C20" s="54">
        <v>150</v>
      </c>
      <c r="D20" s="54">
        <v>80</v>
      </c>
      <c r="E20" s="54">
        <f t="shared" si="63"/>
        <v>3.5553480614894135</v>
      </c>
      <c r="F20" s="54">
        <f t="shared" si="64"/>
        <v>5.0106352940962555</v>
      </c>
      <c r="G20" s="54">
        <f t="shared" si="65"/>
        <v>4.3820266346738812</v>
      </c>
      <c r="H20" s="54">
        <f t="shared" si="68"/>
        <v>0.39514884670079459</v>
      </c>
      <c r="I20" s="54">
        <f/>
        <v>3.3214161860643037</v>
      </c>
      <c r="J20" s="54">
        <f t="shared" si="66"/>
        <v>0.054724122339909115</v>
      </c>
      <c r="K20" s="54">
        <f t="shared" si="67"/>
        <v>0.014390746421820385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54">
        <f/>
        <v>264.15692888828903</v>
      </c>
      <c r="W20" s="2"/>
      <c r="X20" s="2"/>
      <c r="Y20" s="2"/>
    </row>
    <row r="21">
      <c r="A21" s="2"/>
      <c r="B21" s="2"/>
      <c r="C21" s="2"/>
      <c r="D21" s="2"/>
      <c r="E21" s="70">
        <f>AVERAGE(E6:E20)</f>
        <v>3.4413776232923579</v>
      </c>
      <c r="F21" s="70"/>
      <c r="G21" s="70"/>
      <c r="H21" s="70"/>
      <c r="I21" s="70"/>
      <c r="J21" s="70">
        <f>SUM(J6:J20)</f>
        <v>0.44722964103063756</v>
      </c>
      <c r="K21" s="70">
        <f>SUM(K6:K20)</f>
        <v>4.8367460837327974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54">
        <f/>
        <v>214.02119156567969</v>
      </c>
      <c r="W21" s="2"/>
      <c r="X21" s="2"/>
      <c r="Y21" s="2"/>
    </row>
    <row r="22">
      <c r="A22" s="2"/>
      <c r="B22" s="2"/>
      <c r="C22" s="2"/>
      <c r="D22" s="2"/>
      <c r="E22" s="5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54">
        <f/>
        <v>51.020691415131246</v>
      </c>
      <c r="W22" s="2"/>
      <c r="X22" s="2"/>
      <c r="Y22" s="2"/>
    </row>
    <row r="23">
      <c r="V23" t="s">
        <v>31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54"/>
      <c r="V24" s="54">
        <f t="array" ref="V24:V27">MMULT(V14:Y17,V19:V22)</f>
        <v>-11.915254786410781</v>
      </c>
      <c r="W24" s="2">
        <f>EXP(V24)</f>
        <v>6.6876047225984662e-06</v>
      </c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132</v>
      </c>
      <c r="V25" s="54">
        <f/>
        <v>3.4162990806748894</v>
      </c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54">
        <f/>
        <v>-0.39231782201341048</v>
      </c>
      <c r="W26" s="2">
        <f>1-V25</f>
        <v>-2.4162990806748894</v>
      </c>
      <c r="X26" s="2"/>
      <c r="Y26" s="2"/>
    </row>
    <row r="27">
      <c r="A27" s="2"/>
      <c r="B27" s="2"/>
      <c r="C27" s="71"/>
      <c r="D27" s="70" t="s">
        <v>20</v>
      </c>
      <c r="E27" s="71" t="s">
        <v>19</v>
      </c>
      <c r="F27" s="70" t="s">
        <v>182</v>
      </c>
      <c r="G27" s="70" t="s">
        <v>183</v>
      </c>
      <c r="H27" s="70" t="s">
        <v>184</v>
      </c>
      <c r="I27" s="70" t="s">
        <v>185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54">
        <f/>
        <v>-0.40999899753160207</v>
      </c>
      <c r="W27" s="2">
        <f>-2*V27/(V25*(1-V25))</f>
        <v>-0.099335896991625844</v>
      </c>
      <c r="X27" s="2"/>
      <c r="Y27" s="2"/>
    </row>
    <row r="28">
      <c r="A28" s="2"/>
      <c r="B28" s="2"/>
      <c r="C28" s="70" t="s">
        <v>207</v>
      </c>
      <c r="D28" s="54">
        <f>J21</f>
        <v>0.44722964103063756</v>
      </c>
      <c r="E28" s="54">
        <f>E30-E29</f>
        <v>11</v>
      </c>
      <c r="F28" s="72">
        <f t="shared" ref="F28:F29" si="69">D28/E28</f>
        <v>0.04065724009369432</v>
      </c>
      <c r="G28" s="54"/>
      <c r="H28" s="2"/>
      <c r="I28" s="2">
        <f>D29/D30</f>
        <v>0.91536114768001509</v>
      </c>
      <c r="J28" s="2"/>
      <c r="K28" s="2"/>
      <c r="L28" s="2"/>
      <c r="M28" s="54">
        <f t="array" ref="M28:P31">$F$28*V14:Y17</f>
        <v>4.3450296525952536</v>
      </c>
      <c r="N28" s="54">
        <f/>
        <v>-1.1951671867747484</v>
      </c>
      <c r="O28" s="54">
        <f/>
        <v>0.4216577619429227</v>
      </c>
      <c r="P28" s="54">
        <f/>
        <v>0.013528594850681112</v>
      </c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70" t="s">
        <v>208</v>
      </c>
      <c r="D29" s="54">
        <f>K21</f>
        <v>4.8367460837327974</v>
      </c>
      <c r="E29" s="54">
        <v>3</v>
      </c>
      <c r="F29" s="54">
        <f t="shared" si="69"/>
        <v>1.6122486945775991</v>
      </c>
      <c r="G29" s="73">
        <f>F29/F28</f>
        <v>39.65465168964208</v>
      </c>
      <c r="H29" s="2">
        <f>_xlfn.F.INV.RT(0.05,E29,E28)</f>
        <v>3.5874337024204954</v>
      </c>
      <c r="I29" s="2"/>
      <c r="J29" s="2"/>
      <c r="K29" s="2"/>
      <c r="L29" s="2"/>
      <c r="M29" s="54">
        <f/>
        <v>-1.1951671867770601</v>
      </c>
      <c r="N29" s="54">
        <f/>
        <v>5.3938265411874156</v>
      </c>
      <c r="O29" s="54">
        <f/>
        <v>-5.6581963817807788</v>
      </c>
      <c r="P29" s="54">
        <f/>
        <v>-2.9793500761500167</v>
      </c>
      <c r="Q29" s="2">
        <f>SQRT(N29)</f>
        <v>2.3224613110205765</v>
      </c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70" t="s">
        <v>209</v>
      </c>
      <c r="D30" s="54">
        <f>D28+D29</f>
        <v>5.2839757247634349</v>
      </c>
      <c r="E30" s="54">
        <v>14</v>
      </c>
      <c r="F30" s="2"/>
      <c r="G30" s="2"/>
      <c r="H30" s="2"/>
      <c r="I30" s="2"/>
      <c r="J30" s="2"/>
      <c r="K30" s="54" t="s">
        <v>210</v>
      </c>
      <c r="L30" s="2"/>
      <c r="M30" s="54">
        <f/>
        <v>0.42165776194543458</v>
      </c>
      <c r="N30" s="54">
        <f/>
        <v>-5.6581963817812468</v>
      </c>
      <c r="O30" s="54">
        <f/>
        <v>6.1060242710376604</v>
      </c>
      <c r="P30" s="54">
        <f/>
        <v>3.2545812311923212</v>
      </c>
      <c r="Q30" s="2">
        <f>SQRT(O30)</f>
        <v>2.4710370841081404</v>
      </c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54">
        <f/>
        <v>0.013528594852032307</v>
      </c>
      <c r="N31" s="54">
        <f/>
        <v>-2.9793500761503813</v>
      </c>
      <c r="O31" s="54">
        <f/>
        <v>3.2545812311924447</v>
      </c>
      <c r="P31" s="54">
        <f/>
        <v>1.7591213697977623</v>
      </c>
      <c r="Q31" s="2">
        <f>SQRT(P31)</f>
        <v>1.3263187285859166</v>
      </c>
      <c r="R31" s="2"/>
      <c r="S31" s="2"/>
      <c r="T31" s="2"/>
      <c r="U31" s="2"/>
      <c r="V31" s="2"/>
      <c r="W31" s="2"/>
      <c r="X31" s="2"/>
      <c r="Y31" s="2"/>
    </row>
    <row r="33">
      <c r="D33" s="54"/>
      <c r="E33" s="54"/>
      <c r="F33" s="2"/>
      <c r="G33" s="2"/>
      <c r="H33" s="2"/>
      <c r="I33" s="2"/>
      <c r="J33" s="2"/>
      <c r="K33" s="2"/>
      <c r="L33" s="2"/>
      <c r="M33" s="2"/>
    </row>
    <row r="34">
      <c r="D34" s="2"/>
      <c r="E34" s="2"/>
      <c r="F34" s="2"/>
      <c r="G34" s="2"/>
      <c r="H34" s="2"/>
      <c r="I34" s="2"/>
      <c r="J34" s="2"/>
      <c r="K34" s="54"/>
      <c r="L34" s="57" t="s">
        <v>188</v>
      </c>
      <c r="M34" s="54">
        <f>V25/SQRT(N29)</f>
        <v>1.4709821276521673</v>
      </c>
      <c r="N34">
        <f>_xlfn.T.DIST.2T(M34,11)</f>
        <v>0.16931521423413959</v>
      </c>
    </row>
    <row r="35">
      <c r="D35" s="2"/>
      <c r="E35" s="2"/>
      <c r="F35" s="2"/>
      <c r="G35" s="2"/>
      <c r="H35" s="2"/>
      <c r="I35" s="2"/>
      <c r="J35" s="2"/>
      <c r="K35" s="2"/>
      <c r="L35" s="57" t="s">
        <v>189</v>
      </c>
      <c r="M35" s="54">
        <f>V26/SQRT(O30)</f>
        <v>-0.15876646471091221</v>
      </c>
      <c r="N35" s="2">
        <f t="shared" ref="N35:N36" si="70">_xlfn.T.DIST.2T(-M35,11)</f>
        <v>0.87673023121177251</v>
      </c>
    </row>
    <row r="36">
      <c r="D36" s="2"/>
      <c r="E36" s="2"/>
      <c r="F36" s="2"/>
      <c r="G36" s="2"/>
      <c r="H36" s="2"/>
      <c r="I36" s="2"/>
      <c r="J36" s="2"/>
      <c r="K36" s="2"/>
      <c r="L36" s="57" t="s">
        <v>211</v>
      </c>
      <c r="M36" s="54">
        <f>V27/SQRT(P31)</f>
        <v>-0.30912554327626163</v>
      </c>
      <c r="N36" s="2">
        <f t="shared" si="70"/>
        <v>0.76300237499108026</v>
      </c>
    </row>
    <row r="38">
      <c r="D38" s="2"/>
      <c r="E38" s="2"/>
      <c r="F38" s="2"/>
      <c r="G38" s="2"/>
      <c r="H38" s="2"/>
      <c r="I38" s="2"/>
      <c r="J38" s="2"/>
      <c r="K38" s="2"/>
      <c r="L38" s="54" t="s">
        <v>212</v>
      </c>
      <c r="M38" s="2">
        <f>_xlfn.T.INV.2T(0.05,15-4)</f>
        <v>2.2009851600916384</v>
      </c>
    </row>
    <row r="40">
      <c r="D40" s="2"/>
      <c r="E40" s="2"/>
      <c r="F40" s="2"/>
      <c r="G40" s="2"/>
      <c r="H40" s="2"/>
      <c r="I40" s="2"/>
      <c r="J40" s="2"/>
      <c r="K40" s="2"/>
      <c r="L40" s="54"/>
      <c r="M40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Sujon Miah</dc:creator>
  <cp:revision>1</cp:revision>
  <dcterms:created xsi:type="dcterms:W3CDTF">2026-02-22T13:44:53Z</dcterms:created>
  <dcterms:modified xsi:type="dcterms:W3CDTF">2026-09-15T15:18:29Z</dcterms:modified>
</cp:coreProperties>
</file>