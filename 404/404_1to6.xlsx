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olors1.xml" ContentType="application/vnd.ms-office.chartcolorstyle+xml"/>
  <Override PartName="/xl/charts/style1.xml" ContentType="application/vnd.ms-office.chartstyle+xml"/>
  <Override PartName="/xl/charts/colors2.xml" ContentType="application/vnd.ms-office.chartcolorstyle+xml"/>
  <Override PartName="/xl/charts/style2.xml" ContentType="application/vnd.ms-office.chartstyle+xml"/>
  <Override PartName="/xl/charts/colors3.xml" ContentType="application/vnd.ms-office.chartcolorstyle+xml"/>
  <Override PartName="/xl/charts/style3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60" yWindow="15" windowWidth="18540" windowHeight="6495" activeTab="5"/>
  </bookViews>
  <sheets>
    <sheet name="Problem 01" sheetId="1" r:id="rId1"/>
    <sheet name="Problem 02" sheetId="2" r:id="rId2"/>
    <sheet name="Problem 03" sheetId="3" r:id="rId3"/>
    <sheet name="Problem 04" sheetId="4" r:id="rId4"/>
    <sheet name="Problm 05" sheetId="5" r:id="rId5"/>
    <sheet name="Problem 06" sheetId="6" r:id="rId6"/>
  </sheets>
  <calcPr calcId="145621"/>
  <extLst>
    <ext xmlns:x15="http://schemas.microsoft.com/office/spreadsheetml/2010/11/main" uri="{D0CA8CA8-9F24-4464-BF8E-62219DCF47F9}"/>
  </extLst>
</workbook>
</file>

<file path=xl/calcChain.xml><?xml version="1.0" encoding="utf-8"?>
<calcChain xmlns="http://schemas.openxmlformats.org/spreadsheetml/2006/main">
  <c r="M58" i="6" l="1"/>
  <c r="M57" i="6"/>
  <c r="M56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G35" i="6"/>
  <c r="I35" i="6"/>
  <c r="H49" i="6"/>
  <c r="G49" i="6"/>
  <c r="F49" i="6"/>
  <c r="H48" i="6"/>
  <c r="G48" i="6"/>
  <c r="F48" i="6"/>
  <c r="H47" i="6"/>
  <c r="G47" i="6"/>
  <c r="F47" i="6"/>
  <c r="H46" i="6"/>
  <c r="G46" i="6"/>
  <c r="F46" i="6"/>
  <c r="H45" i="6"/>
  <c r="G45" i="6"/>
  <c r="F45" i="6"/>
  <c r="H44" i="6"/>
  <c r="G44" i="6"/>
  <c r="F44" i="6"/>
  <c r="H43" i="6"/>
  <c r="G43" i="6"/>
  <c r="F43" i="6"/>
  <c r="H42" i="6"/>
  <c r="G42" i="6"/>
  <c r="F42" i="6"/>
  <c r="H41" i="6"/>
  <c r="G41" i="6"/>
  <c r="F41" i="6"/>
  <c r="H40" i="6"/>
  <c r="G40" i="6"/>
  <c r="F40" i="6"/>
  <c r="H39" i="6"/>
  <c r="G39" i="6"/>
  <c r="F39" i="6"/>
  <c r="H38" i="6"/>
  <c r="G38" i="6"/>
  <c r="F38" i="6"/>
  <c r="H37" i="6"/>
  <c r="G37" i="6"/>
  <c r="F37" i="6"/>
  <c r="H36" i="6"/>
  <c r="G36" i="6"/>
  <c r="F36" i="6"/>
  <c r="H35" i="6"/>
  <c r="F35" i="6"/>
  <c r="M26" i="6"/>
  <c r="M25" i="6"/>
  <c r="M24" i="6"/>
  <c r="H11" i="6" l="1"/>
  <c r="H4" i="6"/>
  <c r="G5" i="6"/>
  <c r="H5" i="6"/>
  <c r="G6" i="6"/>
  <c r="H6" i="6"/>
  <c r="G7" i="6"/>
  <c r="H7" i="6"/>
  <c r="G8" i="6"/>
  <c r="H8" i="6"/>
  <c r="G9" i="6"/>
  <c r="H9" i="6"/>
  <c r="G10" i="6"/>
  <c r="H10" i="6"/>
  <c r="G11" i="6"/>
  <c r="G12" i="6"/>
  <c r="H12" i="6"/>
  <c r="G13" i="6"/>
  <c r="H13" i="6"/>
  <c r="G14" i="6"/>
  <c r="H14" i="6"/>
  <c r="G15" i="6"/>
  <c r="H15" i="6"/>
  <c r="G16" i="6"/>
  <c r="H16" i="6"/>
  <c r="G17" i="6"/>
  <c r="H17" i="6"/>
  <c r="G18" i="6"/>
  <c r="H18" i="6"/>
  <c r="G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4" i="6"/>
  <c r="J106" i="5"/>
  <c r="J97" i="5"/>
  <c r="J98" i="5"/>
  <c r="J99" i="5"/>
  <c r="E100" i="5"/>
  <c r="E101" i="5"/>
  <c r="E102" i="5" s="1"/>
  <c r="E103" i="5" s="1"/>
  <c r="E104" i="5" s="1"/>
  <c r="E105" i="5" s="1"/>
  <c r="E106" i="5" s="1"/>
  <c r="E107" i="5" s="1"/>
  <c r="E108" i="5" s="1"/>
  <c r="E109" i="5" s="1"/>
  <c r="E110" i="5" s="1"/>
  <c r="E111" i="5" s="1"/>
  <c r="E112" i="5" s="1"/>
  <c r="E113" i="5" s="1"/>
  <c r="E114" i="5" s="1"/>
  <c r="E99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98" i="5"/>
  <c r="C115" i="5"/>
  <c r="D75" i="5" a="1"/>
  <c r="D75" i="5" s="1"/>
  <c r="E67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53" i="5"/>
  <c r="D41" i="5"/>
  <c r="D33" i="5"/>
  <c r="G16" i="4"/>
  <c r="D15" i="4"/>
  <c r="D14" i="4"/>
  <c r="G8" i="4"/>
  <c r="F8" i="4"/>
  <c r="G7" i="4"/>
  <c r="F7" i="4"/>
  <c r="G6" i="4"/>
  <c r="F6" i="4"/>
  <c r="G14" i="4" s="1"/>
  <c r="G5" i="4"/>
  <c r="D16" i="4" s="1"/>
  <c r="F5" i="4"/>
  <c r="I73" i="3"/>
  <c r="I74" i="3" s="1"/>
  <c r="I75" i="3" s="1"/>
  <c r="F70" i="3"/>
  <c r="F69" i="3"/>
  <c r="F68" i="3"/>
  <c r="F67" i="3"/>
  <c r="F66" i="3"/>
  <c r="F65" i="3"/>
  <c r="F64" i="3"/>
  <c r="F63" i="3"/>
  <c r="F62" i="3"/>
  <c r="F61" i="3"/>
  <c r="E34" i="3"/>
  <c r="E35" i="3" s="1"/>
  <c r="E33" i="3"/>
  <c r="F5" i="3"/>
  <c r="F6" i="3" s="1"/>
  <c r="E5" i="3"/>
  <c r="E6" i="3" s="1"/>
  <c r="O17" i="2"/>
  <c r="F17" i="2"/>
  <c r="F15" i="2"/>
  <c r="J14" i="2"/>
  <c r="E14" i="2"/>
  <c r="H14" i="2" s="1"/>
  <c r="J13" i="2"/>
  <c r="H13" i="2"/>
  <c r="E13" i="2"/>
  <c r="J12" i="2"/>
  <c r="E12" i="2"/>
  <c r="H12" i="2" s="1"/>
  <c r="J11" i="2"/>
  <c r="H11" i="2"/>
  <c r="E11" i="2"/>
  <c r="J10" i="2"/>
  <c r="E10" i="2"/>
  <c r="H10" i="2" s="1"/>
  <c r="J9" i="2"/>
  <c r="H9" i="2"/>
  <c r="E9" i="2"/>
  <c r="J8" i="2"/>
  <c r="E8" i="2"/>
  <c r="H8" i="2" s="1"/>
  <c r="J7" i="2"/>
  <c r="H7" i="2"/>
  <c r="E7" i="2"/>
  <c r="J6" i="2"/>
  <c r="E6" i="2"/>
  <c r="H6" i="2" s="1"/>
  <c r="J5" i="2"/>
  <c r="H5" i="2"/>
  <c r="E5" i="2"/>
  <c r="J4" i="2"/>
  <c r="E4" i="2"/>
  <c r="H4" i="2" s="1"/>
  <c r="H15" i="2" s="1"/>
  <c r="J3" i="2"/>
  <c r="J16" i="1"/>
  <c r="J15" i="1"/>
  <c r="J14" i="1"/>
  <c r="J13" i="1"/>
  <c r="J12" i="1"/>
  <c r="J11" i="1"/>
  <c r="J10" i="1"/>
  <c r="J9" i="1"/>
  <c r="J8" i="1"/>
  <c r="J7" i="1"/>
  <c r="I7" i="1"/>
  <c r="I8" i="1" s="1"/>
  <c r="K6" i="1"/>
  <c r="J6" i="1"/>
  <c r="I6" i="1"/>
  <c r="K5" i="1"/>
  <c r="J5" i="1"/>
  <c r="I5" i="1"/>
  <c r="D86" i="5" l="1"/>
  <c r="D78" i="5"/>
  <c r="D89" i="5"/>
  <c r="D85" i="5"/>
  <c r="D81" i="5"/>
  <c r="D77" i="5"/>
  <c r="D90" i="5"/>
  <c r="D82" i="5"/>
  <c r="D88" i="5"/>
  <c r="D84" i="5"/>
  <c r="D80" i="5"/>
  <c r="D76" i="5"/>
  <c r="D91" i="5"/>
  <c r="D87" i="5"/>
  <c r="D83" i="5"/>
  <c r="D79" i="5"/>
  <c r="I9" i="1"/>
  <c r="K8" i="1"/>
  <c r="E36" i="3"/>
  <c r="K16" i="4"/>
  <c r="K17" i="4" s="1"/>
  <c r="E7" i="3"/>
  <c r="F7" i="3"/>
  <c r="G5" i="2"/>
  <c r="G7" i="2"/>
  <c r="G9" i="2"/>
  <c r="G11" i="2"/>
  <c r="G13" i="2"/>
  <c r="G15" i="4"/>
  <c r="K7" i="1"/>
  <c r="G17" i="4"/>
  <c r="K14" i="4" s="1"/>
  <c r="K20" i="4" s="1"/>
  <c r="G4" i="2"/>
  <c r="G6" i="2"/>
  <c r="G8" i="2"/>
  <c r="G10" i="2"/>
  <c r="G12" i="2"/>
  <c r="G14" i="2"/>
  <c r="F8" i="3" l="1"/>
  <c r="E37" i="3"/>
  <c r="F36" i="3"/>
  <c r="K15" i="4"/>
  <c r="E8" i="3"/>
  <c r="F18" i="2"/>
  <c r="G15" i="2"/>
  <c r="F19" i="2" s="1"/>
  <c r="F20" i="2" s="1"/>
  <c r="F22" i="2" s="1"/>
  <c r="F23" i="2" s="1"/>
  <c r="K9" i="1"/>
  <c r="I10" i="1"/>
  <c r="F9" i="3" l="1"/>
  <c r="F21" i="2"/>
  <c r="I11" i="2"/>
  <c r="I4" i="2"/>
  <c r="I8" i="2"/>
  <c r="I12" i="2"/>
  <c r="I9" i="2"/>
  <c r="I13" i="2"/>
  <c r="I6" i="2"/>
  <c r="I10" i="2"/>
  <c r="I14" i="2"/>
  <c r="I5" i="2"/>
  <c r="I7" i="2"/>
  <c r="I11" i="1"/>
  <c r="K10" i="1"/>
  <c r="E9" i="3"/>
  <c r="F37" i="3"/>
  <c r="F34" i="3"/>
  <c r="F33" i="3"/>
  <c r="F35" i="3"/>
  <c r="I12" i="1" l="1"/>
  <c r="K11" i="1"/>
  <c r="K3" i="2"/>
  <c r="L3" i="2" s="1"/>
  <c r="K13" i="2"/>
  <c r="L13" i="2" s="1"/>
  <c r="K6" i="2"/>
  <c r="L6" i="2" s="1"/>
  <c r="K8" i="2"/>
  <c r="L8" i="2" s="1"/>
  <c r="K12" i="2"/>
  <c r="L12" i="2" s="1"/>
  <c r="M12" i="2" s="1"/>
  <c r="N12" i="2" s="1"/>
  <c r="O12" i="2" s="1"/>
  <c r="K9" i="2"/>
  <c r="L9" i="2" s="1"/>
  <c r="M9" i="2" s="1"/>
  <c r="N9" i="2" s="1"/>
  <c r="O9" i="2" s="1"/>
  <c r="K11" i="2"/>
  <c r="L11" i="2" s="1"/>
  <c r="K5" i="2"/>
  <c r="L5" i="2" s="1"/>
  <c r="K4" i="2"/>
  <c r="L4" i="2" s="1"/>
  <c r="M4" i="2" s="1"/>
  <c r="N4" i="2" s="1"/>
  <c r="O4" i="2" s="1"/>
  <c r="K10" i="2"/>
  <c r="L10" i="2" s="1"/>
  <c r="M10" i="2" s="1"/>
  <c r="N10" i="2" s="1"/>
  <c r="O10" i="2" s="1"/>
  <c r="K7" i="2"/>
  <c r="L7" i="2" s="1"/>
  <c r="M7" i="2" s="1"/>
  <c r="N7" i="2" s="1"/>
  <c r="O7" i="2" s="1"/>
  <c r="K14" i="2"/>
  <c r="L14" i="2" s="1"/>
  <c r="M14" i="2" s="1"/>
  <c r="N14" i="2" s="1"/>
  <c r="O14" i="2" s="1"/>
  <c r="G9" i="3"/>
  <c r="E10" i="3"/>
  <c r="I15" i="2"/>
  <c r="G19" i="2" s="1"/>
  <c r="F10" i="3"/>
  <c r="H9" i="3"/>
  <c r="H10" i="3" l="1"/>
  <c r="H5" i="3"/>
  <c r="H6" i="3"/>
  <c r="H7" i="3"/>
  <c r="H8" i="3"/>
  <c r="M5" i="2"/>
  <c r="N5" i="2" s="1"/>
  <c r="O5" i="2" s="1"/>
  <c r="M8" i="2"/>
  <c r="N8" i="2" s="1"/>
  <c r="O8" i="2" s="1"/>
  <c r="O15" i="2"/>
  <c r="M11" i="2"/>
  <c r="N11" i="2" s="1"/>
  <c r="O11" i="2" s="1"/>
  <c r="M6" i="2"/>
  <c r="N6" i="2" s="1"/>
  <c r="O6" i="2" s="1"/>
  <c r="I13" i="1"/>
  <c r="K12" i="1"/>
  <c r="G10" i="3"/>
  <c r="G5" i="3"/>
  <c r="G6" i="3"/>
  <c r="G7" i="3"/>
  <c r="G8" i="3"/>
  <c r="M13" i="2"/>
  <c r="N13" i="2" s="1"/>
  <c r="O13" i="2" s="1"/>
  <c r="K13" i="1" l="1"/>
  <c r="I14" i="1"/>
  <c r="I15" i="1" l="1"/>
  <c r="K14" i="1"/>
  <c r="I16" i="1" l="1"/>
  <c r="K16" i="1" s="1"/>
  <c r="I21" i="1" s="1"/>
  <c r="K15" i="1"/>
  <c r="I20" i="1" l="1"/>
  <c r="I22" i="1" s="1"/>
  <c r="I23" i="1"/>
  <c r="I24" i="1" s="1"/>
</calcChain>
</file>

<file path=xl/connections.xml><?xml version="1.0" encoding="utf-8"?>
<connections xmlns="http://schemas.openxmlformats.org/spreadsheetml/2006/main">
  <connection id="1" keepAlive="1" name="Query - Table001 (Page 1)" description="Connection to the 'Table001 (Page 1)' query in the workbook." type="5" refreshedVersion="0" background="1">
    <dbPr connection="Provider=Microsoft.Mashup.OleDb.1;Data Source=$Workbook$;Location=&quot;Table001 (Page 1)&quot;;Extended Properties=&quot;&quot;" command="SELECT * FROM [Table001 (Page 1)]"/>
  </connection>
</connections>
</file>

<file path=xl/sharedStrings.xml><?xml version="1.0" encoding="utf-8"?>
<sst xmlns="http://schemas.openxmlformats.org/spreadsheetml/2006/main" count="285" uniqueCount="163">
  <si>
    <t>Income Class (taka)</t>
  </si>
  <si>
    <t>Percentage of household</t>
  </si>
  <si>
    <t>Under 500</t>
  </si>
  <si>
    <t>Income (X)</t>
  </si>
  <si>
    <t>% of households having income &gt;=X (Y)</t>
  </si>
  <si>
    <t>log X</t>
  </si>
  <si>
    <t>log Y</t>
  </si>
  <si>
    <t>500-999</t>
  </si>
  <si>
    <t>1000-1999</t>
  </si>
  <si>
    <t>2000-2999</t>
  </si>
  <si>
    <t>3000-3999</t>
  </si>
  <si>
    <t>4000-4999</t>
  </si>
  <si>
    <t>5000-5999</t>
  </si>
  <si>
    <t>6000-7999</t>
  </si>
  <si>
    <t>8000-9999</t>
  </si>
  <si>
    <t>10000-14999</t>
  </si>
  <si>
    <t>15000-24999</t>
  </si>
  <si>
    <t>25000 or over</t>
  </si>
  <si>
    <t>b0 hat</t>
  </si>
  <si>
    <t>b1 hat</t>
  </si>
  <si>
    <t>A hat</t>
  </si>
  <si>
    <t>gama hat</t>
  </si>
  <si>
    <t>rho hat</t>
  </si>
  <si>
    <t>LL</t>
  </si>
  <si>
    <t>UL</t>
  </si>
  <si>
    <t>Mid value (Xi)</t>
  </si>
  <si>
    <t>freq (fi)</t>
  </si>
  <si>
    <t>fixi</t>
  </si>
  <si>
    <t>fiXi^2</t>
  </si>
  <si>
    <t>fi(Xi-Xbar)^2</t>
  </si>
  <si>
    <t>In of class upper boundary (yi)</t>
  </si>
  <si>
    <t>zi</t>
  </si>
  <si>
    <t>phi (z)</t>
  </si>
  <si>
    <t>d phi(z)</t>
  </si>
  <si>
    <t>Ei</t>
  </si>
  <si>
    <t>Chi</t>
  </si>
  <si>
    <t>-</t>
  </si>
  <si>
    <t>Total</t>
  </si>
  <si>
    <t>CHI SQ</t>
  </si>
  <si>
    <t>N</t>
  </si>
  <si>
    <t>Tab</t>
  </si>
  <si>
    <t>X bar</t>
  </si>
  <si>
    <t>S^2 bar</t>
  </si>
  <si>
    <t>S^2 + Xbar ^2</t>
  </si>
  <si>
    <t>mu hat</t>
  </si>
  <si>
    <t>sigma^2 hat</t>
  </si>
  <si>
    <t>sigma hat</t>
  </si>
  <si>
    <t>Income</t>
  </si>
  <si>
    <t>Number of Persons</t>
  </si>
  <si>
    <t>Cumulative Income</t>
  </si>
  <si>
    <t>Cumulative Persons</t>
  </si>
  <si>
    <t>Cumulative Income (%)</t>
  </si>
  <si>
    <t>Cumulative Persons (%)</t>
  </si>
  <si>
    <t>Daily Income</t>
  </si>
  <si>
    <t>Mid value</t>
  </si>
  <si>
    <t>Cumilative mid value</t>
  </si>
  <si>
    <t>Cumilative mid %</t>
  </si>
  <si>
    <t>No of workers A</t>
  </si>
  <si>
    <t>Cumilative Frequency A</t>
  </si>
  <si>
    <t>Cumilative Frequency A (%)</t>
  </si>
  <si>
    <t>No of workers B</t>
  </si>
  <si>
    <t>Cumilative Frequency B</t>
  </si>
  <si>
    <t>Cumilative Frequency B (%)</t>
  </si>
  <si>
    <t>0−100</t>
  </si>
  <si>
    <t>100−200</t>
  </si>
  <si>
    <t>200−300</t>
  </si>
  <si>
    <t>300−400</t>
  </si>
  <si>
    <t>400−500</t>
  </si>
  <si>
    <t>Cumulative Population</t>
  </si>
  <si>
    <t>Area Under Curve</t>
  </si>
  <si>
    <t>A+B</t>
  </si>
  <si>
    <t>A</t>
  </si>
  <si>
    <t xml:space="preserve">Gini </t>
  </si>
  <si>
    <t>ni</t>
  </si>
  <si>
    <t>E0i</t>
  </si>
  <si>
    <t>Efi</t>
  </si>
  <si>
    <t>Xi = ln (E0i)</t>
  </si>
  <si>
    <t>Yi = ln(Efi)</t>
  </si>
  <si>
    <t>Sums</t>
  </si>
  <si>
    <t>niXi</t>
  </si>
  <si>
    <t>beta</t>
  </si>
  <si>
    <t>Xi</t>
  </si>
  <si>
    <t>niYi</t>
  </si>
  <si>
    <t>alpha</t>
  </si>
  <si>
    <t>Yi</t>
  </si>
  <si>
    <t>niXi^2</t>
  </si>
  <si>
    <t>Var (b)</t>
  </si>
  <si>
    <t>niXiYi</t>
  </si>
  <si>
    <t>SE b</t>
  </si>
  <si>
    <t>Z</t>
  </si>
  <si>
    <t>years</t>
  </si>
  <si>
    <t>GCF</t>
  </si>
  <si>
    <t>1965-66</t>
  </si>
  <si>
    <t>1966-67</t>
  </si>
  <si>
    <t>1967-68</t>
  </si>
  <si>
    <t>1968-69</t>
  </si>
  <si>
    <t>1969-70</t>
  </si>
  <si>
    <t>1970-71</t>
  </si>
  <si>
    <t>1971-72</t>
  </si>
  <si>
    <t>1972-73</t>
  </si>
  <si>
    <t>1973-74</t>
  </si>
  <si>
    <t>1974-75</t>
  </si>
  <si>
    <t>1975-76</t>
  </si>
  <si>
    <t>1976-77</t>
  </si>
  <si>
    <t>1977-78</t>
  </si>
  <si>
    <t>1978-79</t>
  </si>
  <si>
    <t>1979-80</t>
  </si>
  <si>
    <t>1980-81</t>
  </si>
  <si>
    <t>1981-82</t>
  </si>
  <si>
    <t>Semi-avg</t>
  </si>
  <si>
    <t>2y moving avg</t>
  </si>
  <si>
    <t>CMA</t>
  </si>
  <si>
    <t>t</t>
  </si>
  <si>
    <t>p</t>
  </si>
  <si>
    <t>Coded Year</t>
  </si>
  <si>
    <t>X</t>
  </si>
  <si>
    <t>Y</t>
  </si>
  <si>
    <t>Y hat</t>
  </si>
  <si>
    <t>Binary</t>
  </si>
  <si>
    <t>Avg</t>
  </si>
  <si>
    <t>Counting Runs</t>
  </si>
  <si>
    <t>n0</t>
  </si>
  <si>
    <t>n1</t>
  </si>
  <si>
    <t>R</t>
  </si>
  <si>
    <t>n</t>
  </si>
  <si>
    <t>p-value</t>
  </si>
  <si>
    <t>Q</t>
  </si>
  <si>
    <t>L</t>
  </si>
  <si>
    <t>K</t>
  </si>
  <si>
    <t>X1</t>
  </si>
  <si>
    <t>X2</t>
  </si>
  <si>
    <t>LN Q</t>
  </si>
  <si>
    <t>LN L</t>
  </si>
  <si>
    <t>LN K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</si>
  <si>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</si>
  <si>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</si>
  <si>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</si>
  <si>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</si>
  <si>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</si>
  <si>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</si>
  <si>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</si>
  <si>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</si>
  <si>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</si>
  <si>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</si>
  <si>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</si>
  <si>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</si>
  <si>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</si>
  <si>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</si>
  <si>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</si>
  <si>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</si>
  <si>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</si>
  <si>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</si>
  <si>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</si>
  <si>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</si>
  <si>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</si>
  <si>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</si>
  <si>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</si>
  <si>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a0</t>
  </si>
  <si>
    <t>b1</t>
  </si>
  <si>
    <t>b2</t>
  </si>
  <si>
    <t>X3</t>
  </si>
  <si>
    <t>a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</si>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</sst>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theme="1"/>
      <name val="Times New Roman"/>
      <family val="1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0" borderId="0" xfId="0" applyFont="1" applyAlignment="1">
      <alignment wrapText="1"/>
    </xf>
    <xf numFmtId="0" fontId="0" fillId="0" borderId="0" xfId="0"/>
    <xf numFmtId="0" fontId="4" fillId="0" borderId="0" xfId="0" applyFont="1" applyAlignment="1">
      <alignment wrapText="1"/>
    </xf>
    <xf numFmtId="0" fontId="4" fillId="0" borderId="0" xfId="0" applyFont="1" applyAlignment="1">
      <alignment horizontal="right" wrapText="1"/>
    </xf>
    <xf numFmtId="0" fontId="3" fillId="0" borderId="0" xfId="0" applyFont="1" applyAlignment="1">
      <alignment horizontal="right" wrapText="1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right" wrapText="1"/>
    </xf>
    <xf numFmtId="0" fontId="6" fillId="0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0" fillId="2" borderId="2" xfId="0" applyFill="1" applyBorder="1"/>
    <xf numFmtId="0" fontId="5" fillId="0" borderId="2" xfId="0" applyFont="1" applyFill="1" applyBorder="1"/>
    <xf numFmtId="0" fontId="5" fillId="0" borderId="2" xfId="0" applyFont="1" applyBorder="1"/>
    <xf numFmtId="0" fontId="5" fillId="0" borderId="0" xfId="0" applyFont="1"/>
    <xf numFmtId="0" fontId="0" fillId="0" borderId="0" xfId="0" applyFill="1"/>
    <xf numFmtId="0" fontId="0" fillId="0" borderId="2" xfId="0" applyFill="1" applyBorder="1"/>
    <xf numFmtId="0" fontId="2" fillId="0" borderId="0" xfId="0" applyFont="1"/>
    <xf numFmtId="0" fontId="7" fillId="0" borderId="2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0" fillId="0" borderId="0" xfId="0" applyBorder="1"/>
    <xf numFmtId="0" fontId="2" fillId="0" borderId="0" xfId="0" applyFont="1" applyBorder="1"/>
    <xf numFmtId="0" fontId="7" fillId="0" borderId="0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0" fillId="0" borderId="2" xfId="0" applyFill="1" applyBorder="1" applyAlignment="1">
      <alignment horizontal="center"/>
    </xf>
    <xf numFmtId="0" fontId="0" fillId="0" borderId="2" xfId="0" applyFont="1" applyFill="1" applyBorder="1" applyAlignment="1">
      <alignment horizontal="center"/>
    </xf>
    <xf numFmtId="0" fontId="0" fillId="0" borderId="0" xfId="0" applyFill="1" applyBorder="1" applyAlignment="1"/>
    <xf numFmtId="0" fontId="0" fillId="0" borderId="3" xfId="0" applyFill="1" applyBorder="1" applyAlignment="1"/>
    <xf numFmtId="0" fontId="8" fillId="0" borderId="4" xfId="0" applyFont="1" applyFill="1" applyBorder="1" applyAlignment="1">
      <alignment horizontal="center"/>
    </xf>
    <xf numFmtId="0" fontId="8" fillId="0" borderId="4" xfId="0" applyFont="1" applyFill="1" applyBorder="1" applyAlignment="1">
      <alignment horizontal="centerContinuous"/>
    </xf>
    <xf numFmtId="0" fontId="8" fillId="0" borderId="0" xfId="0" applyFont="1" applyFill="1" applyBorder="1" applyAlignment="1">
      <alignment horizontal="center"/>
    </xf>
    <xf numFmtId="0" fontId="1" fillId="0" borderId="0" xfId="0" applyFont="1" applyBorder="1"/>
    <xf numFmtId="0" fontId="1" fillId="0" borderId="0" xfId="0" applyFont="1" applyFill="1" applyBorder="1"/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Curve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'Problem 03'!$H$5:$H$10</c:f>
              <c:numCache>
                <c:formatCode>General</c:formatCode>
                <c:ptCount val="6"/>
                <c:pt idx="0">
                  <c:v>0</c:v>
                </c:pt>
                <c:pt idx="1">
                  <c:v>32</c:v>
                </c:pt>
                <c:pt idx="2">
                  <c:v>60</c:v>
                </c:pt>
                <c:pt idx="3">
                  <c:v>80</c:v>
                </c:pt>
                <c:pt idx="4">
                  <c:v>92</c:v>
                </c:pt>
                <c:pt idx="5">
                  <c:v>100</c:v>
                </c:pt>
              </c:numCache>
            </c:numRef>
          </c:xVal>
          <c:yVal>
            <c:numRef>
              <c:f>'Problem 03'!$G$5:$G$10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15</c:v>
                </c:pt>
                <c:pt idx="3">
                  <c:v>35</c:v>
                </c:pt>
                <c:pt idx="4">
                  <c:v>60</c:v>
                </c:pt>
                <c:pt idx="5">
                  <c:v>100</c:v>
                </c:pt>
              </c:numCache>
            </c:numRef>
          </c:yVal>
          <c:smooth val="1"/>
        </c:ser>
        <c:ser>
          <c:idx val="1"/>
          <c:order val="1"/>
          <c:tx>
            <c:v>Standard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'Problem 03'!$H$5:$H$10</c:f>
              <c:numCache>
                <c:formatCode>General</c:formatCode>
                <c:ptCount val="6"/>
                <c:pt idx="0">
                  <c:v>0</c:v>
                </c:pt>
                <c:pt idx="1">
                  <c:v>32</c:v>
                </c:pt>
                <c:pt idx="2">
                  <c:v>60</c:v>
                </c:pt>
                <c:pt idx="3">
                  <c:v>80</c:v>
                </c:pt>
                <c:pt idx="4">
                  <c:v>92</c:v>
                </c:pt>
                <c:pt idx="5">
                  <c:v>100</c:v>
                </c:pt>
              </c:numCache>
            </c:numRef>
          </c:xVal>
          <c:yVal>
            <c:numRef>
              <c:f>'Problem 03'!$H$5:$H$10</c:f>
              <c:numCache>
                <c:formatCode>General</c:formatCode>
                <c:ptCount val="6"/>
                <c:pt idx="0">
                  <c:v>0</c:v>
                </c:pt>
                <c:pt idx="1">
                  <c:v>32</c:v>
                </c:pt>
                <c:pt idx="2">
                  <c:v>60</c:v>
                </c:pt>
                <c:pt idx="3">
                  <c:v>80</c:v>
                </c:pt>
                <c:pt idx="4">
                  <c:v>92</c:v>
                </c:pt>
                <c:pt idx="5">
                  <c:v>100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56256"/>
        <c:axId val="11058560"/>
      </c:scatterChart>
      <c:valAx>
        <c:axId val="11056256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58560"/>
        <c:crosses val="autoZero"/>
        <c:crossBetween val="midCat"/>
      </c:valAx>
      <c:valAx>
        <c:axId val="11058560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562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Fact 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'Problem 03'!$I$32:$I$37</c:f>
              <c:numCache>
                <c:formatCode>General</c:formatCode>
                <c:ptCount val="6"/>
                <c:pt idx="0">
                  <c:v>0</c:v>
                </c:pt>
                <c:pt idx="1">
                  <c:v>32</c:v>
                </c:pt>
                <c:pt idx="2">
                  <c:v>60</c:v>
                </c:pt>
                <c:pt idx="3">
                  <c:v>80</c:v>
                </c:pt>
                <c:pt idx="4">
                  <c:v>92</c:v>
                </c:pt>
                <c:pt idx="5">
                  <c:v>100</c:v>
                </c:pt>
              </c:numCache>
            </c:numRef>
          </c:xVal>
          <c:yVal>
            <c:numRef>
              <c:f>'Problem 03'!$F$32:$F$37</c:f>
              <c:numCache>
                <c:formatCode>General</c:formatCode>
                <c:ptCount val="6"/>
                <c:pt idx="0">
                  <c:v>0</c:v>
                </c:pt>
                <c:pt idx="1">
                  <c:v>4</c:v>
                </c:pt>
                <c:pt idx="2">
                  <c:v>16</c:v>
                </c:pt>
                <c:pt idx="3">
                  <c:v>36</c:v>
                </c:pt>
                <c:pt idx="4">
                  <c:v>64</c:v>
                </c:pt>
                <c:pt idx="5">
                  <c:v>100</c:v>
                </c:pt>
              </c:numCache>
            </c:numRef>
          </c:yVal>
          <c:smooth val="1"/>
        </c:ser>
        <c:ser>
          <c:idx val="1"/>
          <c:order val="1"/>
          <c:tx>
            <c:v>Fact B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'Problem 03'!$L$32:$L$37</c:f>
              <c:numCache>
                <c:formatCode>General</c:formatCode>
                <c:ptCount val="6"/>
                <c:pt idx="0">
                  <c:v>0</c:v>
                </c:pt>
                <c:pt idx="1">
                  <c:v>60</c:v>
                </c:pt>
                <c:pt idx="2">
                  <c:v>84</c:v>
                </c:pt>
                <c:pt idx="3">
                  <c:v>92</c:v>
                </c:pt>
                <c:pt idx="4">
                  <c:v>96</c:v>
                </c:pt>
                <c:pt idx="5">
                  <c:v>100</c:v>
                </c:pt>
              </c:numCache>
            </c:numRef>
          </c:xVal>
          <c:yVal>
            <c:numRef>
              <c:f>'Problem 03'!$F$32:$F$37</c:f>
              <c:numCache>
                <c:formatCode>General</c:formatCode>
                <c:ptCount val="6"/>
                <c:pt idx="0">
                  <c:v>0</c:v>
                </c:pt>
                <c:pt idx="1">
                  <c:v>4</c:v>
                </c:pt>
                <c:pt idx="2">
                  <c:v>16</c:v>
                </c:pt>
                <c:pt idx="3">
                  <c:v>36</c:v>
                </c:pt>
                <c:pt idx="4">
                  <c:v>64</c:v>
                </c:pt>
                <c:pt idx="5">
                  <c:v>100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87936"/>
        <c:axId val="36445184"/>
      </c:scatterChart>
      <c:valAx>
        <c:axId val="11287936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445184"/>
        <c:crosses val="autoZero"/>
        <c:crossBetween val="midCat"/>
      </c:valAx>
      <c:valAx>
        <c:axId val="36445184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79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Standard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'Problem 03'!$D$60:$D$70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'Problem 03'!$D$60:$D$70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yVal>
          <c:smooth val="0"/>
        </c:ser>
        <c:ser>
          <c:idx val="1"/>
          <c:order val="1"/>
          <c:tx>
            <c:v>Gini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xVal>
            <c:numRef>
              <c:f>'Problem 03'!$D$60:$D$70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'Problem 03'!$E$60:$E$70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25</c:v>
                </c:pt>
                <c:pt idx="6">
                  <c:v>35</c:v>
                </c:pt>
                <c:pt idx="7">
                  <c:v>45</c:v>
                </c:pt>
                <c:pt idx="8">
                  <c:v>55</c:v>
                </c:pt>
                <c:pt idx="9">
                  <c:v>75</c:v>
                </c:pt>
                <c:pt idx="10">
                  <c:v>100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460032"/>
        <c:axId val="36488320"/>
      </c:scatterChart>
      <c:valAx>
        <c:axId val="36460032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488320"/>
        <c:crosses val="autoZero"/>
        <c:crossBetween val="midCat"/>
      </c:valAx>
      <c:valAx>
        <c:axId val="36488320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460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'Problm 05'!$C$2</c:f>
              <c:strCache>
                <c:ptCount val="1"/>
                <c:pt idx="0">
                  <c:v>GCF</c:v>
                </c:pt>
              </c:strCache>
            </c:strRef>
          </c:tx>
          <c:cat>
            <c:strRef>
              <c:f>'Problm 05'!$B$3:$B$19</c:f>
              <c:strCache>
                <c:ptCount val="17"/>
                <c:pt idx="0">
                  <c:v>1965-66</c:v>
                </c:pt>
                <c:pt idx="1">
                  <c:v>1966-67</c:v>
                </c:pt>
                <c:pt idx="2">
                  <c:v>1967-68</c:v>
                </c:pt>
                <c:pt idx="3">
                  <c:v>1968-69</c:v>
                </c:pt>
                <c:pt idx="4">
                  <c:v>1969-70</c:v>
                </c:pt>
                <c:pt idx="5">
                  <c:v>1970-71</c:v>
                </c:pt>
                <c:pt idx="6">
                  <c:v>1971-72</c:v>
                </c:pt>
                <c:pt idx="7">
                  <c:v>1972-73</c:v>
                </c:pt>
                <c:pt idx="8">
                  <c:v>1973-74</c:v>
                </c:pt>
                <c:pt idx="9">
                  <c:v>1974-75</c:v>
                </c:pt>
                <c:pt idx="10">
                  <c:v>1975-76</c:v>
                </c:pt>
                <c:pt idx="11">
                  <c:v>1976-77</c:v>
                </c:pt>
                <c:pt idx="12">
                  <c:v>1977-78</c:v>
                </c:pt>
                <c:pt idx="13">
                  <c:v>1978-79</c:v>
                </c:pt>
                <c:pt idx="14">
                  <c:v>1979-80</c:v>
                </c:pt>
                <c:pt idx="15">
                  <c:v>1980-81</c:v>
                </c:pt>
                <c:pt idx="16">
                  <c:v>1981-82</c:v>
                </c:pt>
              </c:strCache>
            </c:strRef>
          </c:cat>
          <c:val>
            <c:numRef>
              <c:f>'Problm 05'!$C$3:$C$19</c:f>
              <c:numCache>
                <c:formatCode>General</c:formatCode>
                <c:ptCount val="17"/>
                <c:pt idx="0">
                  <c:v>19.3</c:v>
                </c:pt>
                <c:pt idx="1">
                  <c:v>20.9</c:v>
                </c:pt>
                <c:pt idx="2">
                  <c:v>17.8</c:v>
                </c:pt>
                <c:pt idx="3">
                  <c:v>16.100000000000001</c:v>
                </c:pt>
                <c:pt idx="4">
                  <c:v>17.600000000000001</c:v>
                </c:pt>
                <c:pt idx="5">
                  <c:v>17.8</c:v>
                </c:pt>
                <c:pt idx="6">
                  <c:v>18.3</c:v>
                </c:pt>
                <c:pt idx="7">
                  <c:v>17.3</c:v>
                </c:pt>
                <c:pt idx="8">
                  <c:v>21.4</c:v>
                </c:pt>
                <c:pt idx="9">
                  <c:v>19.3</c:v>
                </c:pt>
                <c:pt idx="10">
                  <c:v>18.100000000000001</c:v>
                </c:pt>
                <c:pt idx="11">
                  <c:v>19.5</c:v>
                </c:pt>
                <c:pt idx="12">
                  <c:v>19.2</c:v>
                </c:pt>
                <c:pt idx="13">
                  <c:v>22.2</c:v>
                </c:pt>
                <c:pt idx="14">
                  <c:v>20.9</c:v>
                </c:pt>
                <c:pt idx="15">
                  <c:v>21.5</c:v>
                </c:pt>
                <c:pt idx="16">
                  <c:v>21.9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194624"/>
        <c:axId val="39197312"/>
      </c:lineChart>
      <c:catAx>
        <c:axId val="39194624"/>
        <c:scaling>
          <c:orientation val="minMax"/>
        </c:scaling>
        <c:delete val="0"/>
        <c:axPos val="b"/>
        <c:majorTickMark val="out"/>
        <c:minorTickMark val="none"/>
        <c:tickLblPos val="nextTo"/>
        <c:crossAx val="39197312"/>
        <c:crosses val="autoZero"/>
        <c:auto val="1"/>
        <c:lblAlgn val="ctr"/>
        <c:lblOffset val="100"/>
        <c:noMultiLvlLbl val="0"/>
      </c:catAx>
      <c:valAx>
        <c:axId val="39197312"/>
        <c:scaling>
          <c:orientation val="minMax"/>
          <c:min val="15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91946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'Problm 05'!$D$28</c:f>
              <c:strCache>
                <c:ptCount val="1"/>
                <c:pt idx="0">
                  <c:v>Semi-avg</c:v>
                </c:pt>
              </c:strCache>
            </c:strRef>
          </c:tx>
          <c:trendline>
            <c:trendlineType val="linear"/>
            <c:dispRSqr val="0"/>
            <c:dispEq val="0"/>
          </c:trendline>
          <c:cat>
            <c:strRef>
              <c:f>'Problm 05'!$B$29:$B$45</c:f>
              <c:strCache>
                <c:ptCount val="17"/>
                <c:pt idx="0">
                  <c:v>1965-66</c:v>
                </c:pt>
                <c:pt idx="1">
                  <c:v>1966-67</c:v>
                </c:pt>
                <c:pt idx="2">
                  <c:v>1967-68</c:v>
                </c:pt>
                <c:pt idx="3">
                  <c:v>1968-69</c:v>
                </c:pt>
                <c:pt idx="4">
                  <c:v>1969-70</c:v>
                </c:pt>
                <c:pt idx="5">
                  <c:v>1970-71</c:v>
                </c:pt>
                <c:pt idx="6">
                  <c:v>1971-72</c:v>
                </c:pt>
                <c:pt idx="7">
                  <c:v>1972-73</c:v>
                </c:pt>
                <c:pt idx="8">
                  <c:v>1973-74</c:v>
                </c:pt>
                <c:pt idx="9">
                  <c:v>1974-75</c:v>
                </c:pt>
                <c:pt idx="10">
                  <c:v>1975-76</c:v>
                </c:pt>
                <c:pt idx="11">
                  <c:v>1976-77</c:v>
                </c:pt>
                <c:pt idx="12">
                  <c:v>1977-78</c:v>
                </c:pt>
                <c:pt idx="13">
                  <c:v>1978-79</c:v>
                </c:pt>
                <c:pt idx="14">
                  <c:v>1979-80</c:v>
                </c:pt>
                <c:pt idx="15">
                  <c:v>1980-81</c:v>
                </c:pt>
                <c:pt idx="16">
                  <c:v>1981-82</c:v>
                </c:pt>
              </c:strCache>
            </c:strRef>
          </c:cat>
          <c:val>
            <c:numRef>
              <c:f>'Problm 05'!$D$29:$D$45</c:f>
              <c:numCache>
                <c:formatCode>General</c:formatCode>
                <c:ptCount val="17"/>
                <c:pt idx="4">
                  <c:v>18.137499999999999</c:v>
                </c:pt>
                <c:pt idx="12">
                  <c:v>20.325000000000003</c:v>
                </c:pt>
              </c:numCache>
            </c:numRef>
          </c:val>
          <c:smooth val="0"/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2277760"/>
        <c:axId val="132373504"/>
      </c:lineChart>
      <c:catAx>
        <c:axId val="132277760"/>
        <c:scaling>
          <c:orientation val="minMax"/>
        </c:scaling>
        <c:delete val="0"/>
        <c:axPos val="b"/>
        <c:majorTickMark val="out"/>
        <c:minorTickMark val="none"/>
        <c:tickLblPos val="nextTo"/>
        <c:crossAx val="132373504"/>
        <c:crosses val="autoZero"/>
        <c:auto val="1"/>
        <c:lblAlgn val="ctr"/>
        <c:lblOffset val="100"/>
        <c:noMultiLvlLbl val="0"/>
      </c:catAx>
      <c:valAx>
        <c:axId val="132373504"/>
        <c:scaling>
          <c:orientation val="minMax"/>
          <c:min val="15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227776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'Problm 05'!$C$74</c:f>
              <c:strCache>
                <c:ptCount val="1"/>
                <c:pt idx="0">
                  <c:v>Y</c:v>
                </c:pt>
              </c:strCache>
            </c:strRef>
          </c:tx>
          <c:cat>
            <c:strRef>
              <c:f>'Problm 05'!$A$75:$A$91</c:f>
              <c:strCache>
                <c:ptCount val="17"/>
                <c:pt idx="0">
                  <c:v>1965-66</c:v>
                </c:pt>
                <c:pt idx="1">
                  <c:v>1966-67</c:v>
                </c:pt>
                <c:pt idx="2">
                  <c:v>1967-68</c:v>
                </c:pt>
                <c:pt idx="3">
                  <c:v>1968-69</c:v>
                </c:pt>
                <c:pt idx="4">
                  <c:v>1969-70</c:v>
                </c:pt>
                <c:pt idx="5">
                  <c:v>1970-71</c:v>
                </c:pt>
                <c:pt idx="6">
                  <c:v>1971-72</c:v>
                </c:pt>
                <c:pt idx="7">
                  <c:v>1972-73</c:v>
                </c:pt>
                <c:pt idx="8">
                  <c:v>1973-74</c:v>
                </c:pt>
                <c:pt idx="9">
                  <c:v>1974-75</c:v>
                </c:pt>
                <c:pt idx="10">
                  <c:v>1975-76</c:v>
                </c:pt>
                <c:pt idx="11">
                  <c:v>1976-77</c:v>
                </c:pt>
                <c:pt idx="12">
                  <c:v>1977-78</c:v>
                </c:pt>
                <c:pt idx="13">
                  <c:v>1978-79</c:v>
                </c:pt>
                <c:pt idx="14">
                  <c:v>1979-80</c:v>
                </c:pt>
                <c:pt idx="15">
                  <c:v>1980-81</c:v>
                </c:pt>
                <c:pt idx="16">
                  <c:v>1981-82</c:v>
                </c:pt>
              </c:strCache>
            </c:strRef>
          </c:cat>
          <c:val>
            <c:numRef>
              <c:f>'Problm 05'!$C$75:$C$91</c:f>
              <c:numCache>
                <c:formatCode>General</c:formatCode>
                <c:ptCount val="17"/>
                <c:pt idx="0">
                  <c:v>19.3</c:v>
                </c:pt>
                <c:pt idx="1">
                  <c:v>20.9</c:v>
                </c:pt>
                <c:pt idx="2">
                  <c:v>17.8</c:v>
                </c:pt>
                <c:pt idx="3">
                  <c:v>16.100000000000001</c:v>
                </c:pt>
                <c:pt idx="4">
                  <c:v>17.600000000000001</c:v>
                </c:pt>
                <c:pt idx="5">
                  <c:v>17.8</c:v>
                </c:pt>
                <c:pt idx="6">
                  <c:v>18.3</c:v>
                </c:pt>
                <c:pt idx="7">
                  <c:v>17.3</c:v>
                </c:pt>
                <c:pt idx="8">
                  <c:v>21.4</c:v>
                </c:pt>
                <c:pt idx="9">
                  <c:v>19.3</c:v>
                </c:pt>
                <c:pt idx="10">
                  <c:v>18.100000000000001</c:v>
                </c:pt>
                <c:pt idx="11">
                  <c:v>19.5</c:v>
                </c:pt>
                <c:pt idx="12">
                  <c:v>19.2</c:v>
                </c:pt>
                <c:pt idx="13">
                  <c:v>22.2</c:v>
                </c:pt>
                <c:pt idx="14">
                  <c:v>20.9</c:v>
                </c:pt>
                <c:pt idx="15">
                  <c:v>21.5</c:v>
                </c:pt>
                <c:pt idx="16">
                  <c:v>21.9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'Problm 05'!$D$74</c:f>
              <c:strCache>
                <c:ptCount val="1"/>
                <c:pt idx="0">
                  <c:v>Y hat</c:v>
                </c:pt>
              </c:strCache>
            </c:strRef>
          </c:tx>
          <c:marker>
            <c:symbol val="none"/>
          </c:marker>
          <c:cat>
            <c:strRef>
              <c:f>'Problm 05'!$A$75:$A$91</c:f>
              <c:strCache>
                <c:ptCount val="17"/>
                <c:pt idx="0">
                  <c:v>1965-66</c:v>
                </c:pt>
                <c:pt idx="1">
                  <c:v>1966-67</c:v>
                </c:pt>
                <c:pt idx="2">
                  <c:v>1967-68</c:v>
                </c:pt>
                <c:pt idx="3">
                  <c:v>1968-69</c:v>
                </c:pt>
                <c:pt idx="4">
                  <c:v>1969-70</c:v>
                </c:pt>
                <c:pt idx="5">
                  <c:v>1970-71</c:v>
                </c:pt>
                <c:pt idx="6">
                  <c:v>1971-72</c:v>
                </c:pt>
                <c:pt idx="7">
                  <c:v>1972-73</c:v>
                </c:pt>
                <c:pt idx="8">
                  <c:v>1973-74</c:v>
                </c:pt>
                <c:pt idx="9">
                  <c:v>1974-75</c:v>
                </c:pt>
                <c:pt idx="10">
                  <c:v>1975-76</c:v>
                </c:pt>
                <c:pt idx="11">
                  <c:v>1976-77</c:v>
                </c:pt>
                <c:pt idx="12">
                  <c:v>1977-78</c:v>
                </c:pt>
                <c:pt idx="13">
                  <c:v>1978-79</c:v>
                </c:pt>
                <c:pt idx="14">
                  <c:v>1979-80</c:v>
                </c:pt>
                <c:pt idx="15">
                  <c:v>1980-81</c:v>
                </c:pt>
                <c:pt idx="16">
                  <c:v>1981-82</c:v>
                </c:pt>
              </c:strCache>
            </c:strRef>
          </c:cat>
          <c:val>
            <c:numRef>
              <c:f>'Problm 05'!$D$75:$D$91</c:f>
              <c:numCache>
                <c:formatCode>General</c:formatCode>
                <c:ptCount val="17"/>
                <c:pt idx="0">
                  <c:v>17.649019607843137</c:v>
                </c:pt>
                <c:pt idx="1">
                  <c:v>17.862745098039216</c:v>
                </c:pt>
                <c:pt idx="2">
                  <c:v>18.076470588235292</c:v>
                </c:pt>
                <c:pt idx="3">
                  <c:v>18.290196078431372</c:v>
                </c:pt>
                <c:pt idx="4">
                  <c:v>18.503921568627451</c:v>
                </c:pt>
                <c:pt idx="5">
                  <c:v>18.717647058823527</c:v>
                </c:pt>
                <c:pt idx="6">
                  <c:v>18.931372549019606</c:v>
                </c:pt>
                <c:pt idx="7">
                  <c:v>19.145098039215686</c:v>
                </c:pt>
                <c:pt idx="8">
                  <c:v>19.358823529411762</c:v>
                </c:pt>
                <c:pt idx="9">
                  <c:v>19.572549019607841</c:v>
                </c:pt>
                <c:pt idx="10">
                  <c:v>19.786274509803921</c:v>
                </c:pt>
                <c:pt idx="11">
                  <c:v>19.999999999999996</c:v>
                </c:pt>
                <c:pt idx="12">
                  <c:v>20.213725490196076</c:v>
                </c:pt>
                <c:pt idx="13">
                  <c:v>20.427450980392155</c:v>
                </c:pt>
                <c:pt idx="14">
                  <c:v>20.641176470588231</c:v>
                </c:pt>
                <c:pt idx="15">
                  <c:v>20.854901960784311</c:v>
                </c:pt>
                <c:pt idx="16">
                  <c:v>21.06862745098039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363200"/>
        <c:axId val="157224960"/>
      </c:lineChart>
      <c:catAx>
        <c:axId val="135363200"/>
        <c:scaling>
          <c:orientation val="minMax"/>
        </c:scaling>
        <c:delete val="0"/>
        <c:axPos val="b"/>
        <c:majorTickMark val="out"/>
        <c:minorTickMark val="none"/>
        <c:tickLblPos val="nextTo"/>
        <c:crossAx val="157224960"/>
        <c:crosses val="autoZero"/>
        <c:auto val="1"/>
        <c:lblAlgn val="ctr"/>
        <c:lblOffset val="100"/>
        <c:noMultiLvlLbl val="0"/>
      </c:catAx>
      <c:valAx>
        <c:axId val="157224960"/>
        <c:scaling>
          <c:orientation val="minMax"/>
          <c:min val="15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536320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1238250</xdr:colOff>
      <xdr:row>11</xdr:row>
      <xdr:rowOff>128587</xdr:rowOff>
    </xdr:from>
    <xdr:to>
      <xdr:col>7</xdr:col>
      <xdr:colOff>1381125</xdr:colOff>
      <xdr:row>26</xdr:row>
      <xdr:rowOff>14287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1409699</xdr:colOff>
      <xdr:row>39</xdr:row>
      <xdr:rowOff>100012</xdr:rowOff>
    </xdr:from>
    <xdr:to>
      <xdr:col>8</xdr:col>
      <xdr:colOff>57150</xdr:colOff>
      <xdr:row>53</xdr:row>
      <xdr:rowOff>176212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1328736</xdr:colOff>
      <xdr:row>78</xdr:row>
      <xdr:rowOff>14286</xdr:rowOff>
    </xdr:from>
    <xdr:to>
      <xdr:col>12</xdr:col>
      <xdr:colOff>138111</xdr:colOff>
      <xdr:row>92</xdr:row>
      <xdr:rowOff>90486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314324</xdr:colOff>
      <xdr:row>0</xdr:row>
      <xdr:rowOff>57149</xdr:rowOff>
    </xdr:from>
    <xdr:to>
      <xdr:col>19</xdr:col>
      <xdr:colOff>134004</xdr:colOff>
      <xdr:row>16</xdr:row>
      <xdr:rowOff>28994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/>
      </xdr:blipFill>
      <xdr:spPr bwMode="auto">
        <a:xfrm>
          <a:off x="7210424" y="57149"/>
          <a:ext cx="4696480" cy="286744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447260</xdr:colOff>
      <xdr:row>1</xdr:row>
      <xdr:rowOff>77856</xdr:rowOff>
    </xdr:from>
    <xdr:to>
      <xdr:col>13</xdr:col>
      <xdr:colOff>115955</xdr:colOff>
      <xdr:row>15</xdr:row>
      <xdr:rowOff>46382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91109</xdr:colOff>
      <xdr:row>11</xdr:row>
      <xdr:rowOff>107676</xdr:rowOff>
    </xdr:from>
    <xdr:to>
      <xdr:col>7</xdr:col>
      <xdr:colOff>405847</xdr:colOff>
      <xdr:row>13</xdr:row>
      <xdr:rowOff>24848</xdr:rowOff>
    </xdr:to>
    <xdr:sp macro="" textlink="">
      <xdr:nvSpPr>
        <xdr:cNvPr id="15" name="Oval 14"/>
        <xdr:cNvSpPr/>
      </xdr:nvSpPr>
      <xdr:spPr>
        <a:xfrm>
          <a:off x="4381500" y="2277719"/>
          <a:ext cx="314738" cy="314738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t</a:t>
          </a:r>
        </a:p>
      </xdr:txBody>
    </xdr:sp>
    <xdr:clientData/>
  </xdr:twoCellAnchor>
  <xdr:twoCellAnchor>
    <xdr:from>
      <xdr:col>6</xdr:col>
      <xdr:colOff>318053</xdr:colOff>
      <xdr:row>4</xdr:row>
      <xdr:rowOff>102706</xdr:rowOff>
    </xdr:from>
    <xdr:to>
      <xdr:col>7</xdr:col>
      <xdr:colOff>19878</xdr:colOff>
      <xdr:row>6</xdr:row>
      <xdr:rowOff>19879</xdr:rowOff>
    </xdr:to>
    <xdr:sp macro="" textlink="">
      <xdr:nvSpPr>
        <xdr:cNvPr id="16" name="Oval 15"/>
        <xdr:cNvSpPr/>
      </xdr:nvSpPr>
      <xdr:spPr>
        <a:xfrm>
          <a:off x="3995531" y="881271"/>
          <a:ext cx="314738" cy="314738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p</a:t>
          </a:r>
        </a:p>
      </xdr:txBody>
    </xdr:sp>
    <xdr:clientData/>
  </xdr:twoCellAnchor>
  <xdr:twoCellAnchor>
    <xdr:from>
      <xdr:col>8</xdr:col>
      <xdr:colOff>72888</xdr:colOff>
      <xdr:row>7</xdr:row>
      <xdr:rowOff>6628</xdr:rowOff>
    </xdr:from>
    <xdr:to>
      <xdr:col>8</xdr:col>
      <xdr:colOff>387626</xdr:colOff>
      <xdr:row>8</xdr:row>
      <xdr:rowOff>122583</xdr:rowOff>
    </xdr:to>
    <xdr:sp macro="" textlink="">
      <xdr:nvSpPr>
        <xdr:cNvPr id="17" name="Oval 16"/>
        <xdr:cNvSpPr/>
      </xdr:nvSpPr>
      <xdr:spPr>
        <a:xfrm>
          <a:off x="4976192" y="1381541"/>
          <a:ext cx="314738" cy="314738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p</a:t>
          </a:r>
        </a:p>
      </xdr:txBody>
    </xdr:sp>
    <xdr:clientData/>
  </xdr:twoCellAnchor>
  <xdr:twoCellAnchor>
    <xdr:from>
      <xdr:col>8</xdr:col>
      <xdr:colOff>498614</xdr:colOff>
      <xdr:row>3</xdr:row>
      <xdr:rowOff>150746</xdr:rowOff>
    </xdr:from>
    <xdr:to>
      <xdr:col>9</xdr:col>
      <xdr:colOff>200439</xdr:colOff>
      <xdr:row>5</xdr:row>
      <xdr:rowOff>67919</xdr:rowOff>
    </xdr:to>
    <xdr:sp macro="" textlink="">
      <xdr:nvSpPr>
        <xdr:cNvPr id="18" name="Oval 17"/>
        <xdr:cNvSpPr/>
      </xdr:nvSpPr>
      <xdr:spPr>
        <a:xfrm>
          <a:off x="5401918" y="730529"/>
          <a:ext cx="314738" cy="314738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p</a:t>
          </a:r>
        </a:p>
      </xdr:txBody>
    </xdr:sp>
    <xdr:clientData/>
  </xdr:twoCellAnchor>
  <xdr:twoCellAnchor>
    <xdr:from>
      <xdr:col>9</xdr:col>
      <xdr:colOff>435666</xdr:colOff>
      <xdr:row>5</xdr:row>
      <xdr:rowOff>178908</xdr:rowOff>
    </xdr:from>
    <xdr:to>
      <xdr:col>10</xdr:col>
      <xdr:colOff>137491</xdr:colOff>
      <xdr:row>7</xdr:row>
      <xdr:rowOff>96081</xdr:rowOff>
    </xdr:to>
    <xdr:sp macro="" textlink="">
      <xdr:nvSpPr>
        <xdr:cNvPr id="19" name="Oval 18"/>
        <xdr:cNvSpPr/>
      </xdr:nvSpPr>
      <xdr:spPr>
        <a:xfrm>
          <a:off x="5951883" y="1156256"/>
          <a:ext cx="314738" cy="314738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p</a:t>
          </a:r>
        </a:p>
      </xdr:txBody>
    </xdr:sp>
    <xdr:clientData/>
  </xdr:twoCellAnchor>
  <xdr:twoCellAnchor>
    <xdr:from>
      <xdr:col>10</xdr:col>
      <xdr:colOff>223631</xdr:colOff>
      <xdr:row>3</xdr:row>
      <xdr:rowOff>41418</xdr:rowOff>
    </xdr:from>
    <xdr:to>
      <xdr:col>10</xdr:col>
      <xdr:colOff>538369</xdr:colOff>
      <xdr:row>4</xdr:row>
      <xdr:rowOff>157374</xdr:rowOff>
    </xdr:to>
    <xdr:sp macro="" textlink="">
      <xdr:nvSpPr>
        <xdr:cNvPr id="20" name="Oval 19"/>
        <xdr:cNvSpPr/>
      </xdr:nvSpPr>
      <xdr:spPr>
        <a:xfrm>
          <a:off x="6352761" y="621201"/>
          <a:ext cx="314738" cy="314738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p</a:t>
          </a:r>
        </a:p>
      </xdr:txBody>
    </xdr:sp>
    <xdr:clientData/>
  </xdr:twoCellAnchor>
  <xdr:twoCellAnchor>
    <xdr:from>
      <xdr:col>8</xdr:col>
      <xdr:colOff>301487</xdr:colOff>
      <xdr:row>10</xdr:row>
      <xdr:rowOff>69576</xdr:rowOff>
    </xdr:from>
    <xdr:to>
      <xdr:col>9</xdr:col>
      <xdr:colOff>3312</xdr:colOff>
      <xdr:row>11</xdr:row>
      <xdr:rowOff>185532</xdr:rowOff>
    </xdr:to>
    <xdr:sp macro="" textlink="">
      <xdr:nvSpPr>
        <xdr:cNvPr id="21" name="Oval 20"/>
        <xdr:cNvSpPr/>
      </xdr:nvSpPr>
      <xdr:spPr>
        <a:xfrm>
          <a:off x="5204791" y="2040837"/>
          <a:ext cx="314738" cy="314738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t</a:t>
          </a:r>
        </a:p>
      </xdr:txBody>
    </xdr:sp>
    <xdr:clientData/>
  </xdr:twoCellAnchor>
  <xdr:twoCellAnchor>
    <xdr:from>
      <xdr:col>9</xdr:col>
      <xdr:colOff>304801</xdr:colOff>
      <xdr:row>9</xdr:row>
      <xdr:rowOff>72890</xdr:rowOff>
    </xdr:from>
    <xdr:to>
      <xdr:col>10</xdr:col>
      <xdr:colOff>6626</xdr:colOff>
      <xdr:row>10</xdr:row>
      <xdr:rowOff>188845</xdr:rowOff>
    </xdr:to>
    <xdr:sp macro="" textlink="">
      <xdr:nvSpPr>
        <xdr:cNvPr id="22" name="Oval 21"/>
        <xdr:cNvSpPr/>
      </xdr:nvSpPr>
      <xdr:spPr>
        <a:xfrm>
          <a:off x="5821018" y="1845368"/>
          <a:ext cx="314738" cy="314738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t</a:t>
          </a:r>
        </a:p>
      </xdr:txBody>
    </xdr:sp>
    <xdr:clientData/>
  </xdr:twoCellAnchor>
  <xdr:twoCellAnchor>
    <xdr:from>
      <xdr:col>10</xdr:col>
      <xdr:colOff>175593</xdr:colOff>
      <xdr:row>8</xdr:row>
      <xdr:rowOff>26508</xdr:rowOff>
    </xdr:from>
    <xdr:to>
      <xdr:col>10</xdr:col>
      <xdr:colOff>490331</xdr:colOff>
      <xdr:row>9</xdr:row>
      <xdr:rowOff>142464</xdr:rowOff>
    </xdr:to>
    <xdr:sp macro="" textlink="">
      <xdr:nvSpPr>
        <xdr:cNvPr id="23" name="Oval 22"/>
        <xdr:cNvSpPr/>
      </xdr:nvSpPr>
      <xdr:spPr>
        <a:xfrm>
          <a:off x="6304723" y="1600204"/>
          <a:ext cx="314738" cy="314738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t</a:t>
          </a:r>
        </a:p>
      </xdr:txBody>
    </xdr:sp>
    <xdr:clientData/>
  </xdr:twoCellAnchor>
  <xdr:twoCellAnchor>
    <xdr:from>
      <xdr:col>10</xdr:col>
      <xdr:colOff>493646</xdr:colOff>
      <xdr:row>6</xdr:row>
      <xdr:rowOff>96084</xdr:rowOff>
    </xdr:from>
    <xdr:to>
      <xdr:col>11</xdr:col>
      <xdr:colOff>195471</xdr:colOff>
      <xdr:row>8</xdr:row>
      <xdr:rowOff>13256</xdr:rowOff>
    </xdr:to>
    <xdr:sp macro="" textlink="">
      <xdr:nvSpPr>
        <xdr:cNvPr id="24" name="Oval 23"/>
        <xdr:cNvSpPr/>
      </xdr:nvSpPr>
      <xdr:spPr>
        <a:xfrm>
          <a:off x="6622776" y="1272214"/>
          <a:ext cx="314738" cy="314738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t</a:t>
          </a:r>
        </a:p>
      </xdr:txBody>
    </xdr:sp>
    <xdr:clientData/>
  </xdr:twoCellAnchor>
  <xdr:twoCellAnchor>
    <xdr:from>
      <xdr:col>6</xdr:col>
      <xdr:colOff>323850</xdr:colOff>
      <xdr:row>28</xdr:row>
      <xdr:rowOff>180975</xdr:rowOff>
    </xdr:from>
    <xdr:to>
      <xdr:col>14</xdr:col>
      <xdr:colOff>19050</xdr:colOff>
      <xdr:row>42</xdr:row>
      <xdr:rowOff>123825</xdr:rowOff>
    </xdr:to>
    <xdr:graphicFrame macro="">
      <xdr:nvGraphicFramePr>
        <xdr:cNvPr id="27" name="Chart 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495300</xdr:colOff>
      <xdr:row>75</xdr:row>
      <xdr:rowOff>38100</xdr:rowOff>
    </xdr:from>
    <xdr:to>
      <xdr:col>14</xdr:col>
      <xdr:colOff>190500</xdr:colOff>
      <xdr:row>88</xdr:row>
      <xdr:rowOff>180975</xdr:rowOff>
    </xdr:to>
    <xdr:graphicFrame macro="">
      <xdr:nvGraphicFramePr>
        <xdr:cNvPr id="28" name="Chart 2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K24"/>
  <sheetViews>
    <sheetView workbookViewId="0">
      <selection activeCell="I25" sqref="I25"/>
    </sheetView>
  </sheetViews>
  <sheetFormatPr defaultRowHeight="15" x14ac:dyDescent="0.25"/>
  <cols>
    <col min="3" max="3" width="18.28515625" bestFit="1" customWidth="1"/>
    <col min="4" max="4" width="23.5703125" bestFit="1" customWidth="1"/>
    <col min="8" max="8" width="10.5703125" bestFit="1" customWidth="1"/>
    <col min="9" max="9" width="36" bestFit="1" customWidth="1"/>
  </cols>
  <sheetData>
    <row r="3" spans="3:11" x14ac:dyDescent="0.25">
      <c r="C3" t="s">
        <v>0</v>
      </c>
      <c r="D3" t="s">
        <v>1</v>
      </c>
    </row>
    <row r="4" spans="3:11" x14ac:dyDescent="0.25">
      <c r="C4" t="s">
        <v>2</v>
      </c>
      <c r="D4">
        <v>13.6</v>
      </c>
      <c r="H4" t="s">
        <v>3</v>
      </c>
      <c r="I4" t="s">
        <v>4</v>
      </c>
      <c r="J4" t="s">
        <v>5</v>
      </c>
      <c r="K4" t="s">
        <v>6</v>
      </c>
    </row>
    <row r="5" spans="3:11" x14ac:dyDescent="0.25">
      <c r="C5" t="s">
        <v>7</v>
      </c>
      <c r="D5">
        <v>28.9</v>
      </c>
      <c r="H5">
        <v>100</v>
      </c>
      <c r="I5">
        <f>SUM(D4:D15)</f>
        <v>99.999999999999986</v>
      </c>
      <c r="J5">
        <f t="shared" ref="J5:J16" si="0">LOG(H5)</f>
        <v>2</v>
      </c>
      <c r="K5">
        <f t="shared" ref="K5:K15" si="1">LOG(I5)</f>
        <v>2</v>
      </c>
    </row>
    <row r="6" spans="3:11" x14ac:dyDescent="0.25">
      <c r="C6" t="s">
        <v>8</v>
      </c>
      <c r="D6">
        <v>32.5</v>
      </c>
      <c r="H6">
        <v>500</v>
      </c>
      <c r="I6">
        <f t="shared" ref="I6:I16" si="2">I5-D4</f>
        <v>86.399999999999991</v>
      </c>
      <c r="J6">
        <f t="shared" si="0"/>
        <v>2.6989700043360187</v>
      </c>
      <c r="K6">
        <f t="shared" si="1"/>
        <v>1.9365137424788932</v>
      </c>
    </row>
    <row r="7" spans="3:11" x14ac:dyDescent="0.25">
      <c r="C7" t="s">
        <v>9</v>
      </c>
      <c r="D7">
        <v>10.6</v>
      </c>
      <c r="H7">
        <v>1000</v>
      </c>
      <c r="I7">
        <f t="shared" si="2"/>
        <v>57.499999999999993</v>
      </c>
      <c r="J7">
        <f t="shared" si="0"/>
        <v>3</v>
      </c>
      <c r="K7">
        <f t="shared" si="1"/>
        <v>1.7596678446896303</v>
      </c>
    </row>
    <row r="8" spans="3:11" x14ac:dyDescent="0.25">
      <c r="C8" t="s">
        <v>10</v>
      </c>
      <c r="D8">
        <v>5.6</v>
      </c>
      <c r="H8">
        <v>2000</v>
      </c>
      <c r="I8">
        <f t="shared" si="2"/>
        <v>24.999999999999993</v>
      </c>
      <c r="J8">
        <f t="shared" si="0"/>
        <v>3.3010299956639813</v>
      </c>
      <c r="K8">
        <f t="shared" si="1"/>
        <v>1.3979400086720375</v>
      </c>
    </row>
    <row r="9" spans="3:11" x14ac:dyDescent="0.25">
      <c r="C9" t="s">
        <v>11</v>
      </c>
      <c r="D9">
        <v>3.1</v>
      </c>
      <c r="H9">
        <v>3000</v>
      </c>
      <c r="I9">
        <f t="shared" si="2"/>
        <v>14.399999999999993</v>
      </c>
      <c r="J9">
        <f t="shared" si="0"/>
        <v>3.4771212547196626</v>
      </c>
      <c r="K9">
        <f t="shared" si="1"/>
        <v>1.1583624920952496</v>
      </c>
    </row>
    <row r="10" spans="3:11" x14ac:dyDescent="0.25">
      <c r="C10" t="s">
        <v>12</v>
      </c>
      <c r="D10">
        <v>1.7</v>
      </c>
      <c r="H10">
        <v>4000</v>
      </c>
      <c r="I10">
        <f t="shared" si="2"/>
        <v>8.7999999999999936</v>
      </c>
      <c r="J10">
        <f t="shared" si="0"/>
        <v>3.6020599913279625</v>
      </c>
      <c r="K10">
        <f t="shared" si="1"/>
        <v>0.94448267215016835</v>
      </c>
    </row>
    <row r="11" spans="3:11" x14ac:dyDescent="0.25">
      <c r="C11" t="s">
        <v>13</v>
      </c>
      <c r="D11">
        <v>1.7</v>
      </c>
      <c r="H11">
        <v>5000</v>
      </c>
      <c r="I11">
        <f t="shared" si="2"/>
        <v>5.699999999999994</v>
      </c>
      <c r="J11">
        <f t="shared" si="0"/>
        <v>3.6989700043360187</v>
      </c>
      <c r="K11">
        <f t="shared" si="1"/>
        <v>0.75587485567249091</v>
      </c>
    </row>
    <row r="12" spans="3:11" x14ac:dyDescent="0.25">
      <c r="C12" t="s">
        <v>14</v>
      </c>
      <c r="D12">
        <v>0.7</v>
      </c>
      <c r="H12">
        <v>6000</v>
      </c>
      <c r="I12">
        <f t="shared" si="2"/>
        <v>3.9999999999999938</v>
      </c>
      <c r="J12">
        <f t="shared" si="0"/>
        <v>3.7781512503836434</v>
      </c>
      <c r="K12">
        <f t="shared" si="1"/>
        <v>0.60205999132796173</v>
      </c>
    </row>
    <row r="13" spans="3:11" x14ac:dyDescent="0.25">
      <c r="C13" t="s">
        <v>15</v>
      </c>
      <c r="D13">
        <v>0.8</v>
      </c>
      <c r="H13">
        <v>8000</v>
      </c>
      <c r="I13">
        <f t="shared" si="2"/>
        <v>2.2999999999999936</v>
      </c>
      <c r="J13">
        <f t="shared" si="0"/>
        <v>3.9030899869919438</v>
      </c>
      <c r="K13">
        <f t="shared" si="1"/>
        <v>0.36172783601759168</v>
      </c>
    </row>
    <row r="14" spans="3:11" x14ac:dyDescent="0.25">
      <c r="C14" t="s">
        <v>16</v>
      </c>
      <c r="D14">
        <v>0.5</v>
      </c>
      <c r="H14">
        <v>10000</v>
      </c>
      <c r="I14">
        <f t="shared" si="2"/>
        <v>1.5999999999999936</v>
      </c>
      <c r="J14">
        <f t="shared" si="0"/>
        <v>4</v>
      </c>
      <c r="K14">
        <f t="shared" si="1"/>
        <v>0.20411998265592304</v>
      </c>
    </row>
    <row r="15" spans="3:11" x14ac:dyDescent="0.25">
      <c r="C15" t="s">
        <v>17</v>
      </c>
      <c r="D15">
        <v>0.3</v>
      </c>
      <c r="H15">
        <v>15000</v>
      </c>
      <c r="I15">
        <f t="shared" si="2"/>
        <v>0.79999999999999361</v>
      </c>
      <c r="J15">
        <f t="shared" si="0"/>
        <v>4.1760912590556813</v>
      </c>
      <c r="K15">
        <f t="shared" si="1"/>
        <v>-9.6910013008059889E-2</v>
      </c>
    </row>
    <row r="16" spans="3:11" x14ac:dyDescent="0.25">
      <c r="H16">
        <v>25000</v>
      </c>
      <c r="I16">
        <f t="shared" si="2"/>
        <v>0.29999999999999361</v>
      </c>
      <c r="J16">
        <f t="shared" si="0"/>
        <v>4.3979400086720375</v>
      </c>
      <c r="K16">
        <f>LOG(I16)</f>
        <v>-0.52287874528034683</v>
      </c>
    </row>
    <row r="20" spans="8:9" x14ac:dyDescent="0.25">
      <c r="H20" t="s">
        <v>18</v>
      </c>
      <c r="I20">
        <f>AVERAGE(K5:K16)-I21*AVERAGE(J5:J16)</f>
        <v>4.8366637466843834</v>
      </c>
    </row>
    <row r="21" spans="8:9" x14ac:dyDescent="0.25">
      <c r="H21" t="s">
        <v>19</v>
      </c>
      <c r="I21">
        <f>_xlfn.COVARIANCE.P(J5:J16, K5:K16)/_xlfn.VAR.P(J5:J16)</f>
        <v>-1.1309810157097999</v>
      </c>
    </row>
    <row r="22" spans="8:9" x14ac:dyDescent="0.25">
      <c r="H22" t="s">
        <v>20</v>
      </c>
      <c r="I22">
        <f>10^I20</f>
        <v>68653.668187228628</v>
      </c>
    </row>
    <row r="23" spans="8:9" x14ac:dyDescent="0.25">
      <c r="H23" t="s">
        <v>21</v>
      </c>
      <c r="I23">
        <f>-I21</f>
        <v>1.1309810157097999</v>
      </c>
    </row>
    <row r="24" spans="8:9" x14ac:dyDescent="0.25">
      <c r="H24" t="s">
        <v>22</v>
      </c>
      <c r="I24">
        <f>1/(2*I23-1)</f>
        <v>0.79241686762563301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O23"/>
  <sheetViews>
    <sheetView topLeftCell="B1" zoomScale="115" workbookViewId="0">
      <selection activeCell="N18" sqref="N18"/>
    </sheetView>
  </sheetViews>
  <sheetFormatPr defaultRowHeight="15" x14ac:dyDescent="0.25"/>
  <cols>
    <col min="5" max="5" width="13.42578125" customWidth="1"/>
    <col min="10" max="10" width="28.140625" bestFit="1" customWidth="1"/>
  </cols>
  <sheetData>
    <row r="2" spans="3:15" ht="30" x14ac:dyDescent="0.25">
      <c r="C2" s="1" t="s">
        <v>23</v>
      </c>
      <c r="D2" s="1" t="s">
        <v>24</v>
      </c>
      <c r="E2" s="2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</row>
    <row r="3" spans="3:15" x14ac:dyDescent="0.25">
      <c r="C3" s="3"/>
      <c r="D3" s="4">
        <v>9</v>
      </c>
      <c r="E3" s="2" t="s">
        <v>36</v>
      </c>
      <c r="F3" s="3" t="s">
        <v>36</v>
      </c>
      <c r="G3" t="s">
        <v>36</v>
      </c>
      <c r="H3" t="s">
        <v>36</v>
      </c>
      <c r="J3">
        <f t="shared" ref="J3:J14" si="0">LN(D3+0.5)</f>
        <v>2.2512917986064953</v>
      </c>
      <c r="K3">
        <f t="shared" ref="K3:K14" si="1">(J3-$F$21)/$F$23</f>
        <v>-3.2244343006250129</v>
      </c>
      <c r="L3">
        <f t="shared" ref="L3:L14" si="2">_xlfn.NORM.DIST(K3, 0, 1, 1)</f>
        <v>6.3110907690826896E-4</v>
      </c>
    </row>
    <row r="4" spans="3:15" x14ac:dyDescent="0.25">
      <c r="C4" s="5">
        <v>10</v>
      </c>
      <c r="D4" s="5">
        <v>14</v>
      </c>
      <c r="E4" s="2">
        <f t="shared" ref="E4:E14" si="3">(C4+D4)/2</f>
        <v>12</v>
      </c>
      <c r="F4" s="5">
        <v>3.3</v>
      </c>
      <c r="G4">
        <f t="shared" ref="G4:G14" si="4">F4*E4</f>
        <v>39.599999999999994</v>
      </c>
      <c r="H4">
        <f t="shared" ref="H4:H14" si="5">F4*E4*E4</f>
        <v>475.19999999999993</v>
      </c>
      <c r="I4">
        <f t="shared" ref="I4:I14" si="6">F4*(E4-$F$18)^2</f>
        <v>1653.665013825</v>
      </c>
      <c r="J4">
        <f t="shared" si="0"/>
        <v>2.6741486494265287</v>
      </c>
      <c r="K4">
        <f t="shared" si="1"/>
        <v>-2.1025228730238923</v>
      </c>
      <c r="L4">
        <f t="shared" si="2"/>
        <v>1.7753749082050244E-2</v>
      </c>
      <c r="M4">
        <f t="shared" ref="M4:M14" si="7">L4-L3</f>
        <v>1.7122640005141975E-2</v>
      </c>
      <c r="N4">
        <f t="shared" ref="N4:N14" si="8">$F$17*M4</f>
        <v>1.7122640005141976</v>
      </c>
      <c r="O4">
        <f t="shared" ref="O4:O14" si="9">(F4-N4)^2/N4</f>
        <v>1.4722645592654782</v>
      </c>
    </row>
    <row r="5" spans="3:15" x14ac:dyDescent="0.25">
      <c r="C5" s="5">
        <v>15</v>
      </c>
      <c r="D5" s="5">
        <v>19</v>
      </c>
      <c r="E5" s="2">
        <f t="shared" si="3"/>
        <v>17</v>
      </c>
      <c r="F5" s="5">
        <v>9.39</v>
      </c>
      <c r="G5">
        <f t="shared" si="4"/>
        <v>159.63</v>
      </c>
      <c r="H5">
        <f t="shared" si="5"/>
        <v>2713.71</v>
      </c>
      <c r="I5">
        <f t="shared" si="6"/>
        <v>2838.1801802475002</v>
      </c>
      <c r="J5">
        <f t="shared" si="0"/>
        <v>2.9704144655697009</v>
      </c>
      <c r="K5">
        <f t="shared" si="1"/>
        <v>-1.3164790757104154</v>
      </c>
      <c r="L5">
        <f t="shared" si="2"/>
        <v>9.400664845044622E-2</v>
      </c>
      <c r="M5">
        <f t="shared" si="7"/>
        <v>7.6252899368395979E-2</v>
      </c>
      <c r="N5">
        <f t="shared" si="8"/>
        <v>7.6252899368395983</v>
      </c>
      <c r="O5">
        <f t="shared" si="9"/>
        <v>0.40840435351502358</v>
      </c>
    </row>
    <row r="6" spans="3:15" x14ac:dyDescent="0.25">
      <c r="C6" s="5">
        <v>20</v>
      </c>
      <c r="D6" s="5">
        <v>24</v>
      </c>
      <c r="E6" s="2">
        <f t="shared" si="3"/>
        <v>22</v>
      </c>
      <c r="F6" s="5">
        <v>13.08</v>
      </c>
      <c r="G6">
        <f t="shared" si="4"/>
        <v>287.76</v>
      </c>
      <c r="H6">
        <f t="shared" si="5"/>
        <v>6330.7199999999993</v>
      </c>
      <c r="I6">
        <f t="shared" si="6"/>
        <v>2006.47998207</v>
      </c>
      <c r="J6">
        <f t="shared" si="0"/>
        <v>3.1986731175506815</v>
      </c>
      <c r="K6">
        <f t="shared" si="1"/>
        <v>-0.71086989707308346</v>
      </c>
      <c r="L6">
        <f t="shared" si="2"/>
        <v>0.23858243086591838</v>
      </c>
      <c r="M6">
        <f t="shared" si="7"/>
        <v>0.14457578241547214</v>
      </c>
      <c r="N6">
        <f t="shared" si="8"/>
        <v>14.457578241547214</v>
      </c>
      <c r="O6">
        <f t="shared" si="9"/>
        <v>0.13126138969324538</v>
      </c>
    </row>
    <row r="7" spans="3:15" x14ac:dyDescent="0.25">
      <c r="C7" s="5">
        <v>25</v>
      </c>
      <c r="D7" s="5">
        <v>29</v>
      </c>
      <c r="E7" s="2">
        <f t="shared" si="3"/>
        <v>27</v>
      </c>
      <c r="F7" s="5">
        <v>16.41</v>
      </c>
      <c r="G7">
        <f t="shared" si="4"/>
        <v>443.07</v>
      </c>
      <c r="H7">
        <f t="shared" si="5"/>
        <v>11962.89</v>
      </c>
      <c r="I7">
        <f t="shared" si="6"/>
        <v>895.09346420250006</v>
      </c>
      <c r="J7">
        <f t="shared" si="0"/>
        <v>3.3843902633457743</v>
      </c>
      <c r="K7">
        <f t="shared" si="1"/>
        <v>-0.2181305982656612</v>
      </c>
      <c r="L7">
        <f t="shared" si="2"/>
        <v>0.41366367870214205</v>
      </c>
      <c r="M7">
        <f t="shared" si="7"/>
        <v>0.17508124783622367</v>
      </c>
      <c r="N7">
        <f t="shared" si="8"/>
        <v>17.508124783622367</v>
      </c>
      <c r="O7">
        <f t="shared" si="9"/>
        <v>6.8875339609967029E-2</v>
      </c>
    </row>
    <row r="8" spans="3:15" x14ac:dyDescent="0.25">
      <c r="C8" s="5">
        <v>30</v>
      </c>
      <c r="D8" s="5">
        <v>34</v>
      </c>
      <c r="E8" s="2">
        <f t="shared" si="3"/>
        <v>32</v>
      </c>
      <c r="F8" s="5">
        <v>13.87</v>
      </c>
      <c r="G8">
        <f t="shared" si="4"/>
        <v>443.84</v>
      </c>
      <c r="H8">
        <f t="shared" si="5"/>
        <v>14202.88</v>
      </c>
      <c r="I8">
        <f t="shared" si="6"/>
        <v>78.92876416750002</v>
      </c>
      <c r="J8">
        <f t="shared" si="0"/>
        <v>3.5409593240373143</v>
      </c>
      <c r="K8">
        <f t="shared" si="1"/>
        <v>0.197273853756262</v>
      </c>
      <c r="L8">
        <f t="shared" si="2"/>
        <v>0.5781933805179621</v>
      </c>
      <c r="M8">
        <f t="shared" si="7"/>
        <v>0.16452970181582005</v>
      </c>
      <c r="N8">
        <f t="shared" si="8"/>
        <v>16.452970181582003</v>
      </c>
      <c r="O8">
        <f t="shared" si="9"/>
        <v>0.40550337630893729</v>
      </c>
    </row>
    <row r="9" spans="3:15" x14ac:dyDescent="0.25">
      <c r="C9" s="5">
        <v>35</v>
      </c>
      <c r="D9" s="5">
        <v>39</v>
      </c>
      <c r="E9" s="2">
        <f t="shared" si="3"/>
        <v>37</v>
      </c>
      <c r="F9" s="5">
        <v>11.89</v>
      </c>
      <c r="G9">
        <f t="shared" si="4"/>
        <v>439.93</v>
      </c>
      <c r="H9">
        <f t="shared" si="5"/>
        <v>16277.41</v>
      </c>
      <c r="I9">
        <f t="shared" si="6"/>
        <v>81.275405872499974</v>
      </c>
      <c r="J9">
        <f t="shared" si="0"/>
        <v>3.6763006719070761</v>
      </c>
      <c r="K9">
        <f t="shared" si="1"/>
        <v>0.55635755905171536</v>
      </c>
      <c r="L9">
        <f t="shared" si="2"/>
        <v>0.71101677695527699</v>
      </c>
      <c r="M9">
        <f t="shared" si="7"/>
        <v>0.13282339643731489</v>
      </c>
      <c r="N9">
        <f t="shared" si="8"/>
        <v>13.28233964373149</v>
      </c>
      <c r="O9">
        <f t="shared" si="9"/>
        <v>0.14595393097188597</v>
      </c>
    </row>
    <row r="10" spans="3:15" x14ac:dyDescent="0.25">
      <c r="C10" s="5">
        <v>40</v>
      </c>
      <c r="D10" s="5">
        <v>44</v>
      </c>
      <c r="E10" s="2">
        <f t="shared" si="3"/>
        <v>42</v>
      </c>
      <c r="F10" s="5">
        <v>9.3000000000000007</v>
      </c>
      <c r="G10">
        <f t="shared" si="4"/>
        <v>390.6</v>
      </c>
      <c r="H10">
        <f t="shared" si="5"/>
        <v>16405.2</v>
      </c>
      <c r="I10">
        <f t="shared" si="6"/>
        <v>539.21967532499991</v>
      </c>
      <c r="J10">
        <f t="shared" si="0"/>
        <v>3.7954891891721947</v>
      </c>
      <c r="K10">
        <f t="shared" si="1"/>
        <v>0.87258504667371528</v>
      </c>
      <c r="L10">
        <f t="shared" si="2"/>
        <v>0.80855535302637249</v>
      </c>
      <c r="M10">
        <f t="shared" si="7"/>
        <v>9.7538576071095506E-2</v>
      </c>
      <c r="N10">
        <f t="shared" si="8"/>
        <v>9.7538576071095502</v>
      </c>
      <c r="O10">
        <f t="shared" si="9"/>
        <v>2.1118488276993426E-2</v>
      </c>
    </row>
    <row r="11" spans="3:15" x14ac:dyDescent="0.25">
      <c r="C11" s="5">
        <v>45</v>
      </c>
      <c r="D11" s="5">
        <v>49</v>
      </c>
      <c r="E11" s="2">
        <f t="shared" si="3"/>
        <v>47</v>
      </c>
      <c r="F11" s="5">
        <v>6.79</v>
      </c>
      <c r="G11">
        <f t="shared" si="4"/>
        <v>319.13</v>
      </c>
      <c r="H11">
        <f t="shared" si="5"/>
        <v>14999.11</v>
      </c>
      <c r="I11">
        <f t="shared" si="6"/>
        <v>1080.4628935974999</v>
      </c>
      <c r="J11">
        <f t="shared" si="0"/>
        <v>3.9019726695746448</v>
      </c>
      <c r="K11">
        <f t="shared" si="1"/>
        <v>1.1551039021269824</v>
      </c>
      <c r="L11">
        <f t="shared" si="2"/>
        <v>0.87597605975949688</v>
      </c>
      <c r="M11">
        <f t="shared" si="7"/>
        <v>6.7420706733124391E-2</v>
      </c>
      <c r="N11">
        <f t="shared" si="8"/>
        <v>6.7420706733124387</v>
      </c>
      <c r="O11">
        <f t="shared" si="9"/>
        <v>3.4072920146272135E-4</v>
      </c>
    </row>
    <row r="12" spans="3:15" x14ac:dyDescent="0.25">
      <c r="C12" s="5">
        <v>50</v>
      </c>
      <c r="D12" s="5">
        <v>54</v>
      </c>
      <c r="E12" s="2">
        <f t="shared" si="3"/>
        <v>52</v>
      </c>
      <c r="F12" s="5">
        <v>5.82</v>
      </c>
      <c r="G12">
        <f t="shared" si="4"/>
        <v>302.64</v>
      </c>
      <c r="H12">
        <f t="shared" si="5"/>
        <v>15737.279999999999</v>
      </c>
      <c r="I12">
        <f t="shared" si="6"/>
        <v>1805.7749516550002</v>
      </c>
      <c r="J12">
        <f t="shared" si="0"/>
        <v>3.9982007016691985</v>
      </c>
      <c r="K12">
        <f t="shared" si="1"/>
        <v>1.4104133021120717</v>
      </c>
      <c r="L12">
        <f t="shared" si="2"/>
        <v>0.92079116007419393</v>
      </c>
      <c r="M12">
        <f t="shared" si="7"/>
        <v>4.4815100314697043E-2</v>
      </c>
      <c r="N12">
        <f t="shared" si="8"/>
        <v>4.4815100314697043</v>
      </c>
      <c r="O12">
        <f t="shared" si="9"/>
        <v>0.39976601263317824</v>
      </c>
    </row>
    <row r="13" spans="3:15" x14ac:dyDescent="0.25">
      <c r="C13" s="5">
        <v>55</v>
      </c>
      <c r="D13" s="5">
        <v>59</v>
      </c>
      <c r="E13" s="2">
        <f t="shared" si="3"/>
        <v>57</v>
      </c>
      <c r="F13" s="5">
        <v>3.39</v>
      </c>
      <c r="G13">
        <f t="shared" si="4"/>
        <v>193.23000000000002</v>
      </c>
      <c r="H13">
        <f t="shared" si="5"/>
        <v>11014.11</v>
      </c>
      <c r="I13">
        <f t="shared" si="6"/>
        <v>1733.6989187475001</v>
      </c>
      <c r="J13">
        <f t="shared" si="0"/>
        <v>4.0859763125515842</v>
      </c>
      <c r="K13">
        <f t="shared" si="1"/>
        <v>1.6432969853789869</v>
      </c>
      <c r="L13">
        <f t="shared" si="2"/>
        <v>0.94983924913020312</v>
      </c>
      <c r="M13">
        <f t="shared" si="7"/>
        <v>2.9048089056009196E-2</v>
      </c>
      <c r="N13">
        <f t="shared" si="8"/>
        <v>2.9048089056009196</v>
      </c>
      <c r="O13">
        <f t="shared" si="9"/>
        <v>8.1041612627346979E-2</v>
      </c>
    </row>
    <row r="14" spans="3:15" x14ac:dyDescent="0.25">
      <c r="C14" s="5">
        <v>60</v>
      </c>
      <c r="D14" s="5">
        <v>64</v>
      </c>
      <c r="E14" s="2">
        <f t="shared" si="3"/>
        <v>62</v>
      </c>
      <c r="F14" s="5">
        <v>6.76</v>
      </c>
      <c r="G14">
        <f t="shared" si="4"/>
        <v>419.12</v>
      </c>
      <c r="H14">
        <f t="shared" si="5"/>
        <v>25985.439999999999</v>
      </c>
      <c r="I14">
        <f t="shared" si="6"/>
        <v>5154.9097252899992</v>
      </c>
      <c r="J14">
        <f t="shared" si="0"/>
        <v>4.1666652238017265</v>
      </c>
      <c r="K14">
        <f t="shared" si="1"/>
        <v>1.8573784444748331</v>
      </c>
      <c r="L14">
        <f t="shared" si="2"/>
        <v>0.96837133449191271</v>
      </c>
      <c r="M14">
        <f t="shared" si="7"/>
        <v>1.8532085361709583E-2</v>
      </c>
      <c r="N14">
        <f t="shared" si="8"/>
        <v>1.8532085361709583</v>
      </c>
      <c r="O14">
        <f t="shared" si="9"/>
        <v>12.991847382298308</v>
      </c>
    </row>
    <row r="15" spans="3:15" x14ac:dyDescent="0.25">
      <c r="D15" t="s">
        <v>37</v>
      </c>
      <c r="F15">
        <f>SUM(F4:F14)</f>
        <v>100</v>
      </c>
      <c r="G15">
        <f t="shared" ref="G15:I15" si="10">SUM(G4:G14)</f>
        <v>3438.5499999999997</v>
      </c>
      <c r="H15">
        <f t="shared" si="10"/>
        <v>136103.94999999998</v>
      </c>
      <c r="I15">
        <f t="shared" si="10"/>
        <v>17867.688975000001</v>
      </c>
      <c r="N15" t="s">
        <v>38</v>
      </c>
      <c r="O15">
        <f>SUM(O4:O14)</f>
        <v>16.126377174401828</v>
      </c>
    </row>
    <row r="17" spans="5:15" x14ac:dyDescent="0.25">
      <c r="E17" t="s">
        <v>39</v>
      </c>
      <c r="F17">
        <f>SUM(F4:F14)</f>
        <v>100</v>
      </c>
      <c r="N17" t="s">
        <v>40</v>
      </c>
      <c r="O17">
        <f>_xlfn.CHISQ.INV.RT(0.05, 8)</f>
        <v>15.507313055865453</v>
      </c>
    </row>
    <row r="18" spans="5:15" x14ac:dyDescent="0.25">
      <c r="E18" t="s">
        <v>41</v>
      </c>
      <c r="F18">
        <f>SUM(G4:G14)/F17</f>
        <v>34.3855</v>
      </c>
    </row>
    <row r="19" spans="5:15" x14ac:dyDescent="0.25">
      <c r="E19" t="s">
        <v>42</v>
      </c>
      <c r="F19">
        <f>1/(F17-1)*(H15-G15^2/F17)</f>
        <v>180.48170681818195</v>
      </c>
      <c r="G19">
        <f>I15/99</f>
        <v>180.48170681818183</v>
      </c>
    </row>
    <row r="20" spans="5:15" x14ac:dyDescent="0.25">
      <c r="E20" t="s">
        <v>43</v>
      </c>
      <c r="F20">
        <f>F19+F18^2</f>
        <v>1362.8443170681819</v>
      </c>
    </row>
    <row r="21" spans="5:15" x14ac:dyDescent="0.25">
      <c r="E21" t="s">
        <v>44</v>
      </c>
      <c r="F21">
        <f>LN(F18^2/SQRT(F20))</f>
        <v>3.4666053255876585</v>
      </c>
    </row>
    <row r="22" spans="5:15" x14ac:dyDescent="0.25">
      <c r="E22" t="s">
        <v>45</v>
      </c>
      <c r="F22">
        <f>LN(F20/F18^2)</f>
        <v>0.14205927660557893</v>
      </c>
    </row>
    <row r="23" spans="5:15" x14ac:dyDescent="0.25">
      <c r="E23" t="s">
        <v>46</v>
      </c>
      <c r="F23">
        <f>SQRT(F22)</f>
        <v>0.37690751731104932</v>
      </c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L75"/>
  <sheetViews>
    <sheetView topLeftCell="A3" zoomScale="70" zoomScaleNormal="70" workbookViewId="0">
      <selection activeCell="I76" sqref="I76"/>
    </sheetView>
  </sheetViews>
  <sheetFormatPr defaultRowHeight="15" x14ac:dyDescent="0.25"/>
  <cols>
    <col min="4" max="4" width="18.28515625" bestFit="1" customWidth="1"/>
    <col min="5" max="5" width="22" bestFit="1" customWidth="1"/>
    <col min="6" max="6" width="22.42578125" bestFit="1" customWidth="1"/>
    <col min="7" max="7" width="22" bestFit="1" customWidth="1"/>
    <col min="8" max="8" width="22.42578125" bestFit="1" customWidth="1"/>
    <col min="9" max="9" width="10.42578125" customWidth="1"/>
    <col min="11" max="11" width="10.28515625" customWidth="1"/>
    <col min="12" max="12" width="12.140625" customWidth="1"/>
  </cols>
  <sheetData>
    <row r="3" spans="1:8" x14ac:dyDescent="0.25">
      <c r="A3">
        <v>1</v>
      </c>
    </row>
    <row r="4" spans="1:8" x14ac:dyDescent="0.25">
      <c r="C4" t="s">
        <v>47</v>
      </c>
      <c r="D4" t="s">
        <v>48</v>
      </c>
      <c r="E4" t="s">
        <v>49</v>
      </c>
      <c r="F4" t="s">
        <v>50</v>
      </c>
      <c r="G4" t="s">
        <v>51</v>
      </c>
      <c r="H4" t="s">
        <v>52</v>
      </c>
    </row>
    <row r="5" spans="1:8" x14ac:dyDescent="0.25">
      <c r="C5">
        <v>0</v>
      </c>
      <c r="D5">
        <v>0</v>
      </c>
      <c r="E5">
        <f>C5</f>
        <v>0</v>
      </c>
      <c r="F5">
        <f>D5</f>
        <v>0</v>
      </c>
      <c r="G5">
        <f t="shared" ref="G5:G10" si="0">E5/$E$10*100</f>
        <v>0</v>
      </c>
      <c r="H5">
        <f t="shared" ref="H5:H10" si="1">F5/$F$10*100</f>
        <v>0</v>
      </c>
    </row>
    <row r="6" spans="1:8" x14ac:dyDescent="0.25">
      <c r="C6">
        <v>100</v>
      </c>
      <c r="D6">
        <v>80</v>
      </c>
      <c r="E6">
        <f t="shared" ref="E6:E10" si="2">E5+C6</f>
        <v>100</v>
      </c>
      <c r="F6">
        <f t="shared" ref="F6:F10" si="3">F5+D6</f>
        <v>80</v>
      </c>
      <c r="G6">
        <f t="shared" si="0"/>
        <v>5</v>
      </c>
      <c r="H6">
        <f t="shared" si="1"/>
        <v>32</v>
      </c>
    </row>
    <row r="7" spans="1:8" x14ac:dyDescent="0.25">
      <c r="C7">
        <v>200</v>
      </c>
      <c r="D7">
        <v>70</v>
      </c>
      <c r="E7">
        <f t="shared" si="2"/>
        <v>300</v>
      </c>
      <c r="F7">
        <f t="shared" si="3"/>
        <v>150</v>
      </c>
      <c r="G7">
        <f t="shared" si="0"/>
        <v>15</v>
      </c>
      <c r="H7">
        <f t="shared" si="1"/>
        <v>60</v>
      </c>
    </row>
    <row r="8" spans="1:8" x14ac:dyDescent="0.25">
      <c r="C8">
        <v>400</v>
      </c>
      <c r="D8">
        <v>50</v>
      </c>
      <c r="E8">
        <f t="shared" si="2"/>
        <v>700</v>
      </c>
      <c r="F8">
        <f t="shared" si="3"/>
        <v>200</v>
      </c>
      <c r="G8">
        <f t="shared" si="0"/>
        <v>35</v>
      </c>
      <c r="H8">
        <f t="shared" si="1"/>
        <v>80</v>
      </c>
    </row>
    <row r="9" spans="1:8" x14ac:dyDescent="0.25">
      <c r="C9">
        <v>500</v>
      </c>
      <c r="D9">
        <v>30</v>
      </c>
      <c r="E9">
        <f t="shared" si="2"/>
        <v>1200</v>
      </c>
      <c r="F9">
        <f t="shared" si="3"/>
        <v>230</v>
      </c>
      <c r="G9">
        <f t="shared" si="0"/>
        <v>60</v>
      </c>
      <c r="H9">
        <f t="shared" si="1"/>
        <v>92</v>
      </c>
    </row>
    <row r="10" spans="1:8" x14ac:dyDescent="0.25">
      <c r="C10">
        <v>800</v>
      </c>
      <c r="D10">
        <v>20</v>
      </c>
      <c r="E10">
        <f t="shared" si="2"/>
        <v>2000</v>
      </c>
      <c r="F10">
        <f t="shared" si="3"/>
        <v>250</v>
      </c>
      <c r="G10">
        <f t="shared" si="0"/>
        <v>100</v>
      </c>
      <c r="H10">
        <f t="shared" si="1"/>
        <v>100</v>
      </c>
    </row>
    <row r="30" spans="1:12" x14ac:dyDescent="0.25">
      <c r="A30">
        <v>2</v>
      </c>
    </row>
    <row r="31" spans="1:12" ht="39" x14ac:dyDescent="0.25">
      <c r="C31" s="6" t="s">
        <v>53</v>
      </c>
      <c r="D31" s="6" t="s">
        <v>54</v>
      </c>
      <c r="E31" s="6" t="s">
        <v>55</v>
      </c>
      <c r="F31" s="6" t="s">
        <v>56</v>
      </c>
      <c r="G31" s="6" t="s">
        <v>57</v>
      </c>
      <c r="H31" s="6" t="s">
        <v>58</v>
      </c>
      <c r="I31" s="6" t="s">
        <v>59</v>
      </c>
      <c r="J31" s="6" t="s">
        <v>60</v>
      </c>
      <c r="K31" s="6" t="s">
        <v>61</v>
      </c>
      <c r="L31" s="6" t="s">
        <v>62</v>
      </c>
    </row>
    <row r="32" spans="1:12" x14ac:dyDescent="0.25">
      <c r="C32" s="6"/>
      <c r="D32" s="6"/>
      <c r="E32" s="6"/>
      <c r="F32" s="6">
        <v>0</v>
      </c>
      <c r="G32" s="6"/>
      <c r="H32" s="6"/>
      <c r="I32" s="6">
        <v>0</v>
      </c>
      <c r="J32" s="6"/>
      <c r="K32" s="6"/>
      <c r="L32" s="6">
        <v>0</v>
      </c>
    </row>
    <row r="33" spans="3:12" x14ac:dyDescent="0.25">
      <c r="C33" s="6" t="s">
        <v>63</v>
      </c>
      <c r="D33" s="7">
        <v>50</v>
      </c>
      <c r="E33" s="7">
        <f>D33</f>
        <v>50</v>
      </c>
      <c r="F33" s="7">
        <f t="shared" ref="F33:F37" si="4">E33/$E$37*100</f>
        <v>4</v>
      </c>
      <c r="G33" s="7">
        <v>8</v>
      </c>
      <c r="H33" s="7">
        <v>8</v>
      </c>
      <c r="I33" s="7">
        <v>32</v>
      </c>
      <c r="J33" s="7">
        <v>15</v>
      </c>
      <c r="K33" s="7">
        <v>15</v>
      </c>
      <c r="L33" s="7">
        <v>60</v>
      </c>
    </row>
    <row r="34" spans="3:12" x14ac:dyDescent="0.25">
      <c r="C34" s="6" t="s">
        <v>64</v>
      </c>
      <c r="D34" s="7">
        <v>150</v>
      </c>
      <c r="E34" s="7">
        <f t="shared" ref="E34:E37" si="5">E33+D34</f>
        <v>200</v>
      </c>
      <c r="F34" s="7">
        <f t="shared" si="4"/>
        <v>16</v>
      </c>
      <c r="G34" s="7">
        <v>7</v>
      </c>
      <c r="H34" s="7">
        <v>15</v>
      </c>
      <c r="I34" s="7">
        <v>60</v>
      </c>
      <c r="J34" s="7">
        <v>6</v>
      </c>
      <c r="K34" s="7">
        <v>21</v>
      </c>
      <c r="L34" s="7">
        <v>84</v>
      </c>
    </row>
    <row r="35" spans="3:12" x14ac:dyDescent="0.25">
      <c r="C35" s="6" t="s">
        <v>65</v>
      </c>
      <c r="D35" s="7">
        <v>250</v>
      </c>
      <c r="E35" s="7">
        <f t="shared" si="5"/>
        <v>450</v>
      </c>
      <c r="F35" s="7">
        <f t="shared" si="4"/>
        <v>36</v>
      </c>
      <c r="G35" s="7">
        <v>5</v>
      </c>
      <c r="H35" s="7">
        <v>20</v>
      </c>
      <c r="I35" s="7">
        <v>80</v>
      </c>
      <c r="J35" s="7">
        <v>2</v>
      </c>
      <c r="K35" s="7">
        <v>23</v>
      </c>
      <c r="L35" s="7">
        <v>92</v>
      </c>
    </row>
    <row r="36" spans="3:12" x14ac:dyDescent="0.25">
      <c r="C36" s="6" t="s">
        <v>66</v>
      </c>
      <c r="D36" s="7">
        <v>350</v>
      </c>
      <c r="E36" s="7">
        <f t="shared" si="5"/>
        <v>800</v>
      </c>
      <c r="F36" s="7">
        <f t="shared" si="4"/>
        <v>64</v>
      </c>
      <c r="G36" s="7">
        <v>3</v>
      </c>
      <c r="H36" s="7">
        <v>23</v>
      </c>
      <c r="I36" s="7">
        <v>92</v>
      </c>
      <c r="J36" s="7">
        <v>1</v>
      </c>
      <c r="K36" s="7">
        <v>24</v>
      </c>
      <c r="L36" s="7">
        <v>96</v>
      </c>
    </row>
    <row r="37" spans="3:12" x14ac:dyDescent="0.25">
      <c r="C37" s="6" t="s">
        <v>67</v>
      </c>
      <c r="D37" s="7">
        <v>450</v>
      </c>
      <c r="E37" s="7">
        <f t="shared" si="5"/>
        <v>1250</v>
      </c>
      <c r="F37" s="7">
        <f t="shared" si="4"/>
        <v>100</v>
      </c>
      <c r="G37" s="7">
        <v>2</v>
      </c>
      <c r="H37" s="7">
        <v>25</v>
      </c>
      <c r="I37" s="7">
        <v>100</v>
      </c>
      <c r="J37" s="7">
        <v>1</v>
      </c>
      <c r="K37" s="7">
        <v>25</v>
      </c>
      <c r="L37" s="7">
        <v>100</v>
      </c>
    </row>
    <row r="57" spans="1:6" x14ac:dyDescent="0.25">
      <c r="B57">
        <v>3</v>
      </c>
    </row>
    <row r="58" spans="1:6" x14ac:dyDescent="0.25">
      <c r="A58">
        <v>3</v>
      </c>
    </row>
    <row r="59" spans="1:6" ht="26.25" x14ac:dyDescent="0.25">
      <c r="D59" s="6" t="s">
        <v>68</v>
      </c>
      <c r="E59" s="6" t="s">
        <v>49</v>
      </c>
      <c r="F59" t="s">
        <v>69</v>
      </c>
    </row>
    <row r="60" spans="1:6" x14ac:dyDescent="0.25">
      <c r="D60" s="7">
        <v>0</v>
      </c>
      <c r="E60" s="7">
        <v>0</v>
      </c>
    </row>
    <row r="61" spans="1:6" x14ac:dyDescent="0.25">
      <c r="D61" s="7">
        <v>10</v>
      </c>
      <c r="E61" s="7">
        <v>0</v>
      </c>
      <c r="F61">
        <f>1/2*(E60+E61)*(D61-D60)</f>
        <v>0</v>
      </c>
    </row>
    <row r="62" spans="1:6" x14ac:dyDescent="0.25">
      <c r="D62" s="7">
        <v>20</v>
      </c>
      <c r="E62" s="7">
        <v>5</v>
      </c>
      <c r="F62">
        <f t="shared" ref="F62:F70" si="6">1/2*(E61+E62)*(D62-D61)</f>
        <v>25</v>
      </c>
    </row>
    <row r="63" spans="1:6" x14ac:dyDescent="0.25">
      <c r="D63" s="7">
        <v>30</v>
      </c>
      <c r="E63" s="7">
        <v>10</v>
      </c>
      <c r="F63">
        <f t="shared" si="6"/>
        <v>75</v>
      </c>
    </row>
    <row r="64" spans="1:6" x14ac:dyDescent="0.25">
      <c r="D64" s="7">
        <v>40</v>
      </c>
      <c r="E64" s="7">
        <v>15</v>
      </c>
      <c r="F64">
        <f t="shared" si="6"/>
        <v>125</v>
      </c>
    </row>
    <row r="65" spans="4:9" x14ac:dyDescent="0.25">
      <c r="D65" s="7">
        <v>50</v>
      </c>
      <c r="E65" s="7">
        <v>25</v>
      </c>
      <c r="F65">
        <f t="shared" si="6"/>
        <v>200</v>
      </c>
    </row>
    <row r="66" spans="4:9" x14ac:dyDescent="0.25">
      <c r="D66" s="7">
        <v>60</v>
      </c>
      <c r="E66" s="7">
        <v>35</v>
      </c>
      <c r="F66">
        <f t="shared" si="6"/>
        <v>300</v>
      </c>
    </row>
    <row r="67" spans="4:9" x14ac:dyDescent="0.25">
      <c r="D67" s="7">
        <v>70</v>
      </c>
      <c r="E67" s="7">
        <v>45</v>
      </c>
      <c r="F67">
        <f t="shared" si="6"/>
        <v>400</v>
      </c>
    </row>
    <row r="68" spans="4:9" x14ac:dyDescent="0.25">
      <c r="D68" s="7">
        <v>80</v>
      </c>
      <c r="E68" s="7">
        <v>55</v>
      </c>
      <c r="F68">
        <f t="shared" si="6"/>
        <v>500</v>
      </c>
    </row>
    <row r="69" spans="4:9" x14ac:dyDescent="0.25">
      <c r="D69" s="7">
        <v>90</v>
      </c>
      <c r="E69" s="7">
        <v>75</v>
      </c>
      <c r="F69">
        <f t="shared" si="6"/>
        <v>650</v>
      </c>
    </row>
    <row r="70" spans="4:9" x14ac:dyDescent="0.25">
      <c r="D70" s="7">
        <v>100</v>
      </c>
      <c r="E70" s="7">
        <v>100</v>
      </c>
      <c r="F70">
        <f t="shared" si="6"/>
        <v>875</v>
      </c>
    </row>
    <row r="73" spans="4:9" x14ac:dyDescent="0.25">
      <c r="H73" t="s">
        <v>70</v>
      </c>
      <c r="I73">
        <f>1/2*100*100</f>
        <v>5000</v>
      </c>
    </row>
    <row r="74" spans="4:9" x14ac:dyDescent="0.25">
      <c r="H74" t="s">
        <v>71</v>
      </c>
      <c r="I74">
        <f>I73-SUM(F61:F70)</f>
        <v>1850</v>
      </c>
    </row>
    <row r="75" spans="4:9" x14ac:dyDescent="0.25">
      <c r="H75" t="s">
        <v>72</v>
      </c>
      <c r="I75">
        <f>I74/I73</f>
        <v>0.37</v>
      </c>
    </row>
  </sheetData>
  <pageMargins left="0.7" right="0.7" top="0.75" bottom="0.75" header="0.3" footer="0.3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K20"/>
  <sheetViews>
    <sheetView topLeftCell="A7" workbookViewId="0">
      <selection activeCell="I8" sqref="I8"/>
    </sheetView>
  </sheetViews>
  <sheetFormatPr defaultRowHeight="15" x14ac:dyDescent="0.25"/>
  <cols>
    <col min="6" max="6" width="12" bestFit="1" customWidth="1"/>
  </cols>
  <sheetData>
    <row r="4" spans="3:11" x14ac:dyDescent="0.25">
      <c r="C4" t="s">
        <v>73</v>
      </c>
      <c r="D4" t="s">
        <v>74</v>
      </c>
      <c r="E4" t="s">
        <v>75</v>
      </c>
      <c r="F4" t="s">
        <v>76</v>
      </c>
      <c r="G4" t="s">
        <v>77</v>
      </c>
    </row>
    <row r="5" spans="3:11" x14ac:dyDescent="0.25">
      <c r="C5">
        <v>136</v>
      </c>
      <c r="D5">
        <v>54300.1</v>
      </c>
      <c r="E5">
        <v>29100.799999999999</v>
      </c>
      <c r="F5">
        <f t="shared" ref="F5:G8" si="0">LN(D5)</f>
        <v>10.902281347540956</v>
      </c>
      <c r="G5">
        <f>LN(E5)</f>
        <v>10.278520944190637</v>
      </c>
    </row>
    <row r="6" spans="3:11" x14ac:dyDescent="0.25">
      <c r="C6">
        <v>179</v>
      </c>
      <c r="D6">
        <v>68100.3</v>
      </c>
      <c r="E6">
        <v>33100.6</v>
      </c>
      <c r="F6">
        <f t="shared" si="0"/>
        <v>11.128736897414244</v>
      </c>
      <c r="G6">
        <f t="shared" si="0"/>
        <v>10.407306688089081</v>
      </c>
    </row>
    <row r="7" spans="3:11" x14ac:dyDescent="0.25">
      <c r="C7">
        <v>111</v>
      </c>
      <c r="D7">
        <v>86100.9</v>
      </c>
      <c r="E7">
        <v>37400.400000000001</v>
      </c>
      <c r="F7">
        <f t="shared" si="0"/>
        <v>11.363275143322863</v>
      </c>
      <c r="G7">
        <f t="shared" si="0"/>
        <v>10.529436678532596</v>
      </c>
    </row>
    <row r="8" spans="3:11" x14ac:dyDescent="0.25">
      <c r="C8">
        <v>22</v>
      </c>
      <c r="D8">
        <v>123200</v>
      </c>
      <c r="E8">
        <v>40700.1</v>
      </c>
      <c r="F8">
        <f t="shared" si="0"/>
        <v>11.721564330081556</v>
      </c>
      <c r="G8">
        <f t="shared" si="0"/>
        <v>10.613985828430124</v>
      </c>
    </row>
    <row r="13" spans="3:11" x14ac:dyDescent="0.25">
      <c r="C13" t="s">
        <v>78</v>
      </c>
    </row>
    <row r="14" spans="3:11" x14ac:dyDescent="0.25">
      <c r="C14" t="s">
        <v>73</v>
      </c>
      <c r="D14">
        <f>SUM(C5:C8)</f>
        <v>448</v>
      </c>
      <c r="F14" t="s">
        <v>79</v>
      </c>
      <c r="G14">
        <f>SUMPRODUCT(C5:C8, F5:F8)</f>
        <v>4993.952124073352</v>
      </c>
      <c r="J14" t="s">
        <v>80</v>
      </c>
      <c r="K14">
        <f>(D14*G17-G14*G15)/(D14*G16-G14^2)</f>
        <v>0.47584445659515778</v>
      </c>
    </row>
    <row r="15" spans="3:11" x14ac:dyDescent="0.25">
      <c r="C15" t="s">
        <v>81</v>
      </c>
      <c r="D15">
        <f>SUM(F5:F8)</f>
        <v>45.115857718359614</v>
      </c>
      <c r="F15" t="s">
        <v>82</v>
      </c>
      <c r="G15">
        <f>SUMPRODUCT(C5:C8, G5:G8)</f>
        <v>4663.061905120453</v>
      </c>
      <c r="J15" t="s">
        <v>83</v>
      </c>
      <c r="K15">
        <f>(G15-K14*G14)/D14</f>
        <v>5.1042800678092295</v>
      </c>
    </row>
    <row r="16" spans="3:11" x14ac:dyDescent="0.25">
      <c r="C16" t="s">
        <v>84</v>
      </c>
      <c r="D16">
        <f>SUM(G5:G8)</f>
        <v>41.82925013924244</v>
      </c>
      <c r="F16" t="s">
        <v>85</v>
      </c>
      <c r="G16">
        <f>SUMPRODUCT(C5:C8, F5:F8, F5:F8)</f>
        <v>55689.314937483017</v>
      </c>
      <c r="J16" t="s">
        <v>86</v>
      </c>
      <c r="K16">
        <f>D14/(D14*G16-G14^2)</f>
        <v>4.8404831444691911E-2</v>
      </c>
    </row>
    <row r="17" spans="6:11" x14ac:dyDescent="0.25">
      <c r="F17" t="s">
        <v>87</v>
      </c>
      <c r="G17">
        <f>SUMPRODUCT(C5:C8, F5:F8, G5:G8)</f>
        <v>51989.982091084385</v>
      </c>
      <c r="J17" t="s">
        <v>88</v>
      </c>
      <c r="K17">
        <f>SQRT(K16)</f>
        <v>0.220010980282103</v>
      </c>
    </row>
    <row r="20" spans="6:11" x14ac:dyDescent="0.25">
      <c r="J20" t="s">
        <v>89</v>
      </c>
      <c r="K20">
        <f>K14/K17</f>
        <v>2.1628214009365321</v>
      </c>
    </row>
  </sheetData>
  <pageMargins left="0.7" right="0.7" top="0.75" bottom="0.75" header="0.3" footer="0.3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15"/>
  <sheetViews>
    <sheetView topLeftCell="A101" zoomScaleNormal="100" workbookViewId="0">
      <selection activeCell="H110" sqref="H110"/>
    </sheetView>
  </sheetViews>
  <sheetFormatPr defaultRowHeight="15" x14ac:dyDescent="0.25"/>
  <cols>
    <col min="2" max="2" width="11.140625" bestFit="1" customWidth="1"/>
    <col min="4" max="4" width="13.5703125" bestFit="1" customWidth="1"/>
    <col min="5" max="5" width="13.85546875" bestFit="1" customWidth="1"/>
  </cols>
  <sheetData>
    <row r="2" spans="2:3" x14ac:dyDescent="0.25">
      <c r="B2" s="12" t="s">
        <v>90</v>
      </c>
      <c r="C2" s="12" t="s">
        <v>91</v>
      </c>
    </row>
    <row r="3" spans="2:3" ht="15.75" x14ac:dyDescent="0.25">
      <c r="B3" s="8" t="s">
        <v>92</v>
      </c>
      <c r="C3" s="8">
        <v>19.3</v>
      </c>
    </row>
    <row r="4" spans="2:3" ht="15.75" x14ac:dyDescent="0.25">
      <c r="B4" s="8" t="s">
        <v>93</v>
      </c>
      <c r="C4" s="8">
        <v>20.9</v>
      </c>
    </row>
    <row r="5" spans="2:3" ht="15.75" x14ac:dyDescent="0.25">
      <c r="B5" s="8" t="s">
        <v>94</v>
      </c>
      <c r="C5" s="8">
        <v>17.8</v>
      </c>
    </row>
    <row r="6" spans="2:3" ht="15.75" x14ac:dyDescent="0.25">
      <c r="B6" s="8" t="s">
        <v>95</v>
      </c>
      <c r="C6" s="8">
        <v>16.100000000000001</v>
      </c>
    </row>
    <row r="7" spans="2:3" ht="15.75" x14ac:dyDescent="0.25">
      <c r="B7" s="8" t="s">
        <v>96</v>
      </c>
      <c r="C7" s="8">
        <v>17.600000000000001</v>
      </c>
    </row>
    <row r="8" spans="2:3" ht="15.75" x14ac:dyDescent="0.25">
      <c r="B8" s="8" t="s">
        <v>97</v>
      </c>
      <c r="C8" s="8">
        <v>17.8</v>
      </c>
    </row>
    <row r="9" spans="2:3" ht="15.75" x14ac:dyDescent="0.25">
      <c r="B9" s="8" t="s">
        <v>98</v>
      </c>
      <c r="C9" s="8">
        <v>18.3</v>
      </c>
    </row>
    <row r="10" spans="2:3" ht="15.75" x14ac:dyDescent="0.25">
      <c r="B10" s="8" t="s">
        <v>99</v>
      </c>
      <c r="C10" s="8">
        <v>17.3</v>
      </c>
    </row>
    <row r="11" spans="2:3" ht="15.75" x14ac:dyDescent="0.25">
      <c r="B11" s="8" t="s">
        <v>100</v>
      </c>
      <c r="C11" s="8">
        <v>21.4</v>
      </c>
    </row>
    <row r="12" spans="2:3" ht="15.75" x14ac:dyDescent="0.25">
      <c r="B12" s="8" t="s">
        <v>101</v>
      </c>
      <c r="C12" s="8">
        <v>19.3</v>
      </c>
    </row>
    <row r="13" spans="2:3" ht="15.75" x14ac:dyDescent="0.25">
      <c r="B13" s="8" t="s">
        <v>102</v>
      </c>
      <c r="C13" s="8">
        <v>18.100000000000001</v>
      </c>
    </row>
    <row r="14" spans="2:3" ht="15.75" x14ac:dyDescent="0.25">
      <c r="B14" s="8" t="s">
        <v>103</v>
      </c>
      <c r="C14" s="8">
        <v>19.5</v>
      </c>
    </row>
    <row r="15" spans="2:3" ht="15.75" x14ac:dyDescent="0.25">
      <c r="B15" s="8" t="s">
        <v>104</v>
      </c>
      <c r="C15" s="8">
        <v>19.2</v>
      </c>
    </row>
    <row r="16" spans="2:3" ht="15.75" x14ac:dyDescent="0.25">
      <c r="B16" s="8" t="s">
        <v>105</v>
      </c>
      <c r="C16" s="8">
        <v>22.2</v>
      </c>
    </row>
    <row r="17" spans="2:5" ht="15.75" x14ac:dyDescent="0.25">
      <c r="B17" s="8" t="s">
        <v>106</v>
      </c>
      <c r="C17" s="8">
        <v>20.9</v>
      </c>
    </row>
    <row r="18" spans="2:5" ht="15.75" x14ac:dyDescent="0.25">
      <c r="B18" s="8" t="s">
        <v>107</v>
      </c>
      <c r="C18" s="8">
        <v>21.5</v>
      </c>
    </row>
    <row r="19" spans="2:5" ht="15.75" x14ac:dyDescent="0.25">
      <c r="B19" s="8" t="s">
        <v>108</v>
      </c>
      <c r="C19" s="8">
        <v>21.9</v>
      </c>
    </row>
    <row r="28" spans="2:5" x14ac:dyDescent="0.25">
      <c r="B28" s="12" t="s">
        <v>90</v>
      </c>
      <c r="C28" s="12" t="s">
        <v>91</v>
      </c>
      <c r="D28" s="13" t="s">
        <v>109</v>
      </c>
      <c r="E28" s="14"/>
    </row>
    <row r="29" spans="2:5" ht="15.75" x14ac:dyDescent="0.25">
      <c r="B29" s="8" t="s">
        <v>92</v>
      </c>
      <c r="C29" s="8">
        <v>19.3</v>
      </c>
      <c r="D29" s="10"/>
    </row>
    <row r="30" spans="2:5" ht="15.75" x14ac:dyDescent="0.25">
      <c r="B30" s="8" t="s">
        <v>93</v>
      </c>
      <c r="C30" s="8">
        <v>20.9</v>
      </c>
      <c r="D30" s="10"/>
    </row>
    <row r="31" spans="2:5" ht="15.75" x14ac:dyDescent="0.25">
      <c r="B31" s="8" t="s">
        <v>94</v>
      </c>
      <c r="C31" s="8">
        <v>17.8</v>
      </c>
      <c r="D31" s="10"/>
    </row>
    <row r="32" spans="2:5" ht="15.75" x14ac:dyDescent="0.25">
      <c r="B32" s="8" t="s">
        <v>95</v>
      </c>
      <c r="C32" s="8">
        <v>16.100000000000001</v>
      </c>
      <c r="D32" s="10"/>
    </row>
    <row r="33" spans="2:7" ht="15.75" x14ac:dyDescent="0.25">
      <c r="B33" s="8" t="s">
        <v>96</v>
      </c>
      <c r="C33" s="8">
        <v>17.600000000000001</v>
      </c>
      <c r="D33" s="10">
        <f>AVERAGE(C29:C36)</f>
        <v>18.137499999999999</v>
      </c>
    </row>
    <row r="34" spans="2:7" ht="15.75" x14ac:dyDescent="0.25">
      <c r="B34" s="8" t="s">
        <v>97</v>
      </c>
      <c r="C34" s="8">
        <v>17.8</v>
      </c>
      <c r="D34" s="10"/>
    </row>
    <row r="35" spans="2:7" ht="15.75" x14ac:dyDescent="0.25">
      <c r="B35" s="8" t="s">
        <v>98</v>
      </c>
      <c r="C35" s="8">
        <v>18.3</v>
      </c>
      <c r="D35" s="10"/>
    </row>
    <row r="36" spans="2:7" ht="15.75" x14ac:dyDescent="0.25">
      <c r="B36" s="8" t="s">
        <v>99</v>
      </c>
      <c r="C36" s="8">
        <v>17.3</v>
      </c>
      <c r="D36" s="10"/>
    </row>
    <row r="37" spans="2:7" ht="15.75" x14ac:dyDescent="0.25">
      <c r="B37" s="9" t="s">
        <v>100</v>
      </c>
      <c r="C37" s="9">
        <v>21.4</v>
      </c>
      <c r="D37" s="11"/>
      <c r="E37" s="15"/>
      <c r="F37" s="15"/>
      <c r="G37" s="15"/>
    </row>
    <row r="38" spans="2:7" ht="15.75" x14ac:dyDescent="0.25">
      <c r="B38" s="8" t="s">
        <v>101</v>
      </c>
      <c r="C38" s="8">
        <v>19.3</v>
      </c>
      <c r="D38" s="10"/>
    </row>
    <row r="39" spans="2:7" ht="15.75" x14ac:dyDescent="0.25">
      <c r="B39" s="8" t="s">
        <v>102</v>
      </c>
      <c r="C39" s="8">
        <v>18.100000000000001</v>
      </c>
      <c r="D39" s="10"/>
    </row>
    <row r="40" spans="2:7" ht="15.75" x14ac:dyDescent="0.25">
      <c r="B40" s="8" t="s">
        <v>103</v>
      </c>
      <c r="C40" s="8">
        <v>19.5</v>
      </c>
      <c r="D40" s="10"/>
    </row>
    <row r="41" spans="2:7" ht="15.75" x14ac:dyDescent="0.25">
      <c r="B41" s="8" t="s">
        <v>104</v>
      </c>
      <c r="C41" s="8">
        <v>19.2</v>
      </c>
      <c r="D41" s="10">
        <f>AVERAGE(C38:C45)</f>
        <v>20.325000000000003</v>
      </c>
    </row>
    <row r="42" spans="2:7" ht="15.75" x14ac:dyDescent="0.25">
      <c r="B42" s="8" t="s">
        <v>105</v>
      </c>
      <c r="C42" s="8">
        <v>22.2</v>
      </c>
      <c r="D42" s="10"/>
    </row>
    <row r="43" spans="2:7" ht="15.75" x14ac:dyDescent="0.25">
      <c r="B43" s="8" t="s">
        <v>106</v>
      </c>
      <c r="C43" s="8">
        <v>20.9</v>
      </c>
      <c r="D43" s="10"/>
    </row>
    <row r="44" spans="2:7" ht="15.75" x14ac:dyDescent="0.25">
      <c r="B44" s="8" t="s">
        <v>107</v>
      </c>
      <c r="C44" s="8">
        <v>21.5</v>
      </c>
      <c r="D44" s="10"/>
    </row>
    <row r="45" spans="2:7" ht="15.75" x14ac:dyDescent="0.25">
      <c r="B45" s="8" t="s">
        <v>108</v>
      </c>
      <c r="C45" s="8">
        <v>21.9</v>
      </c>
      <c r="D45" s="10"/>
    </row>
    <row r="50" spans="2:13" ht="15.75" x14ac:dyDescent="0.25">
      <c r="J50" s="19"/>
      <c r="K50" s="19"/>
      <c r="L50" s="20"/>
      <c r="M50" s="20"/>
    </row>
    <row r="51" spans="2:13" x14ac:dyDescent="0.25">
      <c r="B51" s="12" t="s">
        <v>90</v>
      </c>
      <c r="C51" s="12" t="s">
        <v>91</v>
      </c>
      <c r="D51" s="13" t="s">
        <v>110</v>
      </c>
      <c r="E51" s="12" t="s">
        <v>111</v>
      </c>
      <c r="J51" s="20"/>
      <c r="K51" s="20"/>
      <c r="L51" s="21"/>
      <c r="M51" s="20"/>
    </row>
    <row r="52" spans="2:13" ht="15.75" x14ac:dyDescent="0.25">
      <c r="B52" s="8" t="s">
        <v>92</v>
      </c>
      <c r="C52" s="8">
        <v>19.3</v>
      </c>
      <c r="D52" s="10"/>
      <c r="E52" s="10"/>
      <c r="J52" s="19"/>
      <c r="K52" s="19"/>
      <c r="L52" s="20"/>
      <c r="M52" s="21"/>
    </row>
    <row r="53" spans="2:13" ht="15.75" x14ac:dyDescent="0.25">
      <c r="B53" s="8" t="s">
        <v>93</v>
      </c>
      <c r="C53" s="8">
        <v>20.9</v>
      </c>
      <c r="D53" s="10">
        <f>(C53+C52)/2</f>
        <v>20.100000000000001</v>
      </c>
      <c r="E53" s="10">
        <f>(D53+D54)/2</f>
        <v>19.725000000000001</v>
      </c>
      <c r="J53" s="20"/>
      <c r="K53" s="20"/>
      <c r="L53" s="21"/>
      <c r="M53" s="20"/>
    </row>
    <row r="54" spans="2:13" ht="15.75" x14ac:dyDescent="0.25">
      <c r="B54" s="8" t="s">
        <v>94</v>
      </c>
      <c r="C54" s="8">
        <v>17.8</v>
      </c>
      <c r="D54" s="10">
        <f t="shared" ref="D54:D68" si="0">(C54+C53)/2</f>
        <v>19.350000000000001</v>
      </c>
      <c r="E54" s="10">
        <f t="shared" ref="E54:E66" si="1">(D54+D55)/2</f>
        <v>18.150000000000002</v>
      </c>
      <c r="J54" s="19"/>
      <c r="K54" s="19"/>
      <c r="L54" s="20"/>
      <c r="M54" s="20"/>
    </row>
    <row r="55" spans="2:13" ht="15.75" x14ac:dyDescent="0.25">
      <c r="B55" s="8" t="s">
        <v>95</v>
      </c>
      <c r="C55" s="8">
        <v>16.100000000000001</v>
      </c>
      <c r="D55" s="10">
        <f t="shared" si="0"/>
        <v>16.950000000000003</v>
      </c>
      <c r="E55" s="10">
        <f t="shared" si="1"/>
        <v>16.900000000000002</v>
      </c>
      <c r="F55" s="17" t="s">
        <v>112</v>
      </c>
      <c r="J55" s="19"/>
      <c r="K55" s="19"/>
      <c r="L55" s="21"/>
      <c r="M55" s="20"/>
    </row>
    <row r="56" spans="2:13" ht="15.75" x14ac:dyDescent="0.25">
      <c r="B56" s="8" t="s">
        <v>96</v>
      </c>
      <c r="C56" s="8">
        <v>17.600000000000001</v>
      </c>
      <c r="D56" s="10">
        <f t="shared" si="0"/>
        <v>16.850000000000001</v>
      </c>
      <c r="E56" s="10">
        <f t="shared" si="1"/>
        <v>17.275000000000002</v>
      </c>
      <c r="J56" s="22"/>
      <c r="K56" s="22"/>
      <c r="L56" s="20"/>
      <c r="M56" s="20"/>
    </row>
    <row r="57" spans="2:13" ht="15.75" x14ac:dyDescent="0.25">
      <c r="B57" s="8" t="s">
        <v>97</v>
      </c>
      <c r="C57" s="8">
        <v>17.8</v>
      </c>
      <c r="D57" s="10">
        <f t="shared" si="0"/>
        <v>17.700000000000003</v>
      </c>
      <c r="E57" s="10">
        <f t="shared" si="1"/>
        <v>17.875</v>
      </c>
    </row>
    <row r="58" spans="2:13" ht="15.75" x14ac:dyDescent="0.25">
      <c r="B58" s="8" t="s">
        <v>98</v>
      </c>
      <c r="C58" s="8">
        <v>18.3</v>
      </c>
      <c r="D58" s="10">
        <f t="shared" si="0"/>
        <v>18.05</v>
      </c>
      <c r="E58" s="10">
        <f t="shared" si="1"/>
        <v>17.925000000000001</v>
      </c>
    </row>
    <row r="59" spans="2:13" ht="15.75" x14ac:dyDescent="0.25">
      <c r="B59" s="8" t="s">
        <v>99</v>
      </c>
      <c r="C59" s="8">
        <v>17.3</v>
      </c>
      <c r="D59" s="10">
        <f t="shared" si="0"/>
        <v>17.8</v>
      </c>
      <c r="E59" s="10">
        <f t="shared" si="1"/>
        <v>18.575000000000003</v>
      </c>
    </row>
    <row r="60" spans="2:13" ht="15.75" x14ac:dyDescent="0.25">
      <c r="B60" s="8" t="s">
        <v>100</v>
      </c>
      <c r="C60" s="8">
        <v>21.4</v>
      </c>
      <c r="D60" s="10">
        <f t="shared" si="0"/>
        <v>19.350000000000001</v>
      </c>
      <c r="E60" s="10">
        <f t="shared" si="1"/>
        <v>19.850000000000001</v>
      </c>
      <c r="F60" s="17" t="s">
        <v>113</v>
      </c>
    </row>
    <row r="61" spans="2:13" ht="15.75" x14ac:dyDescent="0.25">
      <c r="B61" s="8" t="s">
        <v>101</v>
      </c>
      <c r="C61" s="8">
        <v>19.3</v>
      </c>
      <c r="D61" s="10">
        <f t="shared" si="0"/>
        <v>20.350000000000001</v>
      </c>
      <c r="E61" s="10">
        <f t="shared" si="1"/>
        <v>19.525000000000002</v>
      </c>
    </row>
    <row r="62" spans="2:13" ht="15.75" x14ac:dyDescent="0.25">
      <c r="B62" s="8" t="s">
        <v>102</v>
      </c>
      <c r="C62" s="8">
        <v>18.100000000000001</v>
      </c>
      <c r="D62" s="10">
        <f t="shared" si="0"/>
        <v>18.700000000000003</v>
      </c>
      <c r="E62" s="10">
        <f t="shared" si="1"/>
        <v>18.75</v>
      </c>
    </row>
    <row r="63" spans="2:13" ht="15.75" x14ac:dyDescent="0.25">
      <c r="B63" s="8" t="s">
        <v>103</v>
      </c>
      <c r="C63" s="8">
        <v>19.5</v>
      </c>
      <c r="D63" s="10">
        <f t="shared" si="0"/>
        <v>18.8</v>
      </c>
      <c r="E63" s="10">
        <f t="shared" si="1"/>
        <v>19.075000000000003</v>
      </c>
    </row>
    <row r="64" spans="2:13" ht="15.75" x14ac:dyDescent="0.25">
      <c r="B64" s="8" t="s">
        <v>104</v>
      </c>
      <c r="C64" s="8">
        <v>19.2</v>
      </c>
      <c r="D64" s="10">
        <f t="shared" si="0"/>
        <v>19.350000000000001</v>
      </c>
      <c r="E64" s="10">
        <f t="shared" si="1"/>
        <v>20.024999999999999</v>
      </c>
    </row>
    <row r="65" spans="1:5" ht="15.75" x14ac:dyDescent="0.25">
      <c r="B65" s="8" t="s">
        <v>105</v>
      </c>
      <c r="C65" s="8">
        <v>22.2</v>
      </c>
      <c r="D65" s="10">
        <f t="shared" si="0"/>
        <v>20.7</v>
      </c>
      <c r="E65" s="10">
        <f t="shared" si="1"/>
        <v>21.125</v>
      </c>
    </row>
    <row r="66" spans="1:5" ht="15.75" x14ac:dyDescent="0.25">
      <c r="B66" s="8" t="s">
        <v>106</v>
      </c>
      <c r="C66" s="8">
        <v>20.9</v>
      </c>
      <c r="D66" s="10">
        <f t="shared" si="0"/>
        <v>21.549999999999997</v>
      </c>
      <c r="E66" s="10">
        <f t="shared" si="1"/>
        <v>21.375</v>
      </c>
    </row>
    <row r="67" spans="1:5" ht="15.75" x14ac:dyDescent="0.25">
      <c r="B67" s="8" t="s">
        <v>107</v>
      </c>
      <c r="C67" s="8">
        <v>21.5</v>
      </c>
      <c r="D67" s="10">
        <f t="shared" si="0"/>
        <v>21.2</v>
      </c>
      <c r="E67" s="10">
        <f>(D67+D68)/2</f>
        <v>21.45</v>
      </c>
    </row>
    <row r="68" spans="1:5" ht="15.75" x14ac:dyDescent="0.25">
      <c r="B68" s="8" t="s">
        <v>108</v>
      </c>
      <c r="C68" s="8">
        <v>21.9</v>
      </c>
      <c r="D68" s="10">
        <f t="shared" si="0"/>
        <v>21.7</v>
      </c>
      <c r="E68" s="10"/>
    </row>
    <row r="73" spans="1:5" x14ac:dyDescent="0.25">
      <c r="B73" s="13" t="s">
        <v>114</v>
      </c>
      <c r="C73" s="12" t="s">
        <v>91</v>
      </c>
    </row>
    <row r="74" spans="1:5" x14ac:dyDescent="0.25">
      <c r="A74" s="12" t="s">
        <v>90</v>
      </c>
      <c r="B74" s="12" t="s">
        <v>115</v>
      </c>
      <c r="C74" s="13" t="s">
        <v>116</v>
      </c>
      <c r="D74" s="17" t="s">
        <v>117</v>
      </c>
    </row>
    <row r="75" spans="1:5" ht="15.75" x14ac:dyDescent="0.25">
      <c r="A75" s="8" t="s">
        <v>92</v>
      </c>
      <c r="B75" s="8">
        <v>0</v>
      </c>
      <c r="C75" s="8">
        <v>19.3</v>
      </c>
      <c r="D75">
        <f t="array" ref="D75:D91">TREND(C75:C91, B75:B91)</f>
        <v>17.649019607843137</v>
      </c>
    </row>
    <row r="76" spans="1:5" ht="15.75" x14ac:dyDescent="0.25">
      <c r="A76" s="8" t="s">
        <v>93</v>
      </c>
      <c r="B76" s="8">
        <v>1</v>
      </c>
      <c r="C76" s="8">
        <v>20.9</v>
      </c>
      <c r="D76">
        <v>17.862745098039216</v>
      </c>
    </row>
    <row r="77" spans="1:5" ht="15.75" x14ac:dyDescent="0.25">
      <c r="A77" s="8" t="s">
        <v>94</v>
      </c>
      <c r="B77" s="8">
        <v>2</v>
      </c>
      <c r="C77" s="8">
        <v>17.8</v>
      </c>
      <c r="D77">
        <v>18.076470588235292</v>
      </c>
    </row>
    <row r="78" spans="1:5" ht="15.75" x14ac:dyDescent="0.25">
      <c r="A78" s="8" t="s">
        <v>95</v>
      </c>
      <c r="B78" s="8">
        <v>3</v>
      </c>
      <c r="C78" s="8">
        <v>16.100000000000001</v>
      </c>
      <c r="D78">
        <v>18.290196078431372</v>
      </c>
    </row>
    <row r="79" spans="1:5" ht="15.75" x14ac:dyDescent="0.25">
      <c r="A79" s="8" t="s">
        <v>96</v>
      </c>
      <c r="B79" s="8">
        <v>4</v>
      </c>
      <c r="C79" s="8">
        <v>17.600000000000001</v>
      </c>
      <c r="D79">
        <v>18.503921568627451</v>
      </c>
    </row>
    <row r="80" spans="1:5" ht="15.75" x14ac:dyDescent="0.25">
      <c r="A80" s="8" t="s">
        <v>97</v>
      </c>
      <c r="B80" s="8">
        <v>5</v>
      </c>
      <c r="C80" s="8">
        <v>17.8</v>
      </c>
      <c r="D80">
        <v>18.717647058823527</v>
      </c>
    </row>
    <row r="81" spans="1:4" ht="15.75" x14ac:dyDescent="0.25">
      <c r="A81" s="8" t="s">
        <v>98</v>
      </c>
      <c r="B81" s="8">
        <v>6</v>
      </c>
      <c r="C81" s="8">
        <v>18.3</v>
      </c>
      <c r="D81">
        <v>18.931372549019606</v>
      </c>
    </row>
    <row r="82" spans="1:4" ht="15.75" x14ac:dyDescent="0.25">
      <c r="A82" s="8" t="s">
        <v>99</v>
      </c>
      <c r="B82" s="8">
        <v>7</v>
      </c>
      <c r="C82" s="8">
        <v>17.3</v>
      </c>
      <c r="D82">
        <v>19.145098039215686</v>
      </c>
    </row>
    <row r="83" spans="1:4" ht="15.75" x14ac:dyDescent="0.25">
      <c r="A83" s="8" t="s">
        <v>100</v>
      </c>
      <c r="B83" s="8">
        <v>8</v>
      </c>
      <c r="C83" s="8">
        <v>21.4</v>
      </c>
      <c r="D83">
        <v>19.358823529411762</v>
      </c>
    </row>
    <row r="84" spans="1:4" ht="15.75" x14ac:dyDescent="0.25">
      <c r="A84" s="8" t="s">
        <v>101</v>
      </c>
      <c r="B84" s="8">
        <v>9</v>
      </c>
      <c r="C84" s="8">
        <v>19.3</v>
      </c>
      <c r="D84">
        <v>19.572549019607841</v>
      </c>
    </row>
    <row r="85" spans="1:4" ht="15.75" x14ac:dyDescent="0.25">
      <c r="A85" s="8" t="s">
        <v>102</v>
      </c>
      <c r="B85" s="8">
        <v>10</v>
      </c>
      <c r="C85" s="8">
        <v>18.100000000000001</v>
      </c>
      <c r="D85">
        <v>19.786274509803921</v>
      </c>
    </row>
    <row r="86" spans="1:4" ht="15.75" x14ac:dyDescent="0.25">
      <c r="A86" s="8" t="s">
        <v>103</v>
      </c>
      <c r="B86" s="8">
        <v>11</v>
      </c>
      <c r="C86" s="8">
        <v>19.5</v>
      </c>
      <c r="D86">
        <v>19.999999999999996</v>
      </c>
    </row>
    <row r="87" spans="1:4" ht="15.75" x14ac:dyDescent="0.25">
      <c r="A87" s="8" t="s">
        <v>104</v>
      </c>
      <c r="B87" s="8">
        <v>12</v>
      </c>
      <c r="C87" s="8">
        <v>19.2</v>
      </c>
      <c r="D87">
        <v>20.213725490196076</v>
      </c>
    </row>
    <row r="88" spans="1:4" ht="15.75" x14ac:dyDescent="0.25">
      <c r="A88" s="8" t="s">
        <v>105</v>
      </c>
      <c r="B88" s="8">
        <v>13</v>
      </c>
      <c r="C88" s="8">
        <v>22.2</v>
      </c>
      <c r="D88">
        <v>20.427450980392155</v>
      </c>
    </row>
    <row r="89" spans="1:4" ht="15.75" x14ac:dyDescent="0.25">
      <c r="A89" s="8" t="s">
        <v>106</v>
      </c>
      <c r="B89" s="8">
        <v>14</v>
      </c>
      <c r="C89" s="8">
        <v>20.9</v>
      </c>
      <c r="D89">
        <v>20.641176470588231</v>
      </c>
    </row>
    <row r="90" spans="1:4" ht="15.75" x14ac:dyDescent="0.25">
      <c r="A90" s="8" t="s">
        <v>107</v>
      </c>
      <c r="B90" s="8">
        <v>15</v>
      </c>
      <c r="C90" s="8">
        <v>21.5</v>
      </c>
      <c r="D90">
        <v>20.854901960784311</v>
      </c>
    </row>
    <row r="91" spans="1:4" ht="15.75" x14ac:dyDescent="0.25">
      <c r="A91" s="8" t="s">
        <v>108</v>
      </c>
      <c r="B91" s="8">
        <v>16</v>
      </c>
      <c r="C91" s="8">
        <v>21.9</v>
      </c>
      <c r="D91">
        <v>21.06862745098039</v>
      </c>
    </row>
    <row r="97" spans="2:10" x14ac:dyDescent="0.25">
      <c r="B97" s="12" t="s">
        <v>90</v>
      </c>
      <c r="C97" s="12" t="s">
        <v>91</v>
      </c>
      <c r="D97" s="23" t="s">
        <v>118</v>
      </c>
      <c r="E97" s="23" t="s">
        <v>120</v>
      </c>
      <c r="I97" s="17" t="s">
        <v>123</v>
      </c>
      <c r="J97">
        <f>E114</f>
        <v>7</v>
      </c>
    </row>
    <row r="98" spans="2:10" ht="15.75" x14ac:dyDescent="0.25">
      <c r="B98" s="8" t="s">
        <v>92</v>
      </c>
      <c r="C98" s="8">
        <v>19.3</v>
      </c>
      <c r="D98" s="10">
        <f>IF(C98&lt;$C$115, 0, 1)</f>
        <v>0</v>
      </c>
      <c r="E98" s="10">
        <v>0</v>
      </c>
      <c r="I98" s="17" t="s">
        <v>121</v>
      </c>
      <c r="J98">
        <f>17-J99</f>
        <v>10</v>
      </c>
    </row>
    <row r="99" spans="2:10" ht="15.75" x14ac:dyDescent="0.25">
      <c r="B99" s="8" t="s">
        <v>93</v>
      </c>
      <c r="C99" s="8">
        <v>20.9</v>
      </c>
      <c r="D99" s="10">
        <f t="shared" ref="D99:D114" si="2">IF(C99&lt;$C$115, 0, 1)</f>
        <v>1</v>
      </c>
      <c r="E99" s="10">
        <f>IF(D99=D98, E98, E98+1)</f>
        <v>1</v>
      </c>
      <c r="I99" s="17" t="s">
        <v>122</v>
      </c>
      <c r="J99">
        <f>SUM(D98:D114)</f>
        <v>7</v>
      </c>
    </row>
    <row r="100" spans="2:10" ht="15.75" x14ac:dyDescent="0.25">
      <c r="B100" s="8" t="s">
        <v>94</v>
      </c>
      <c r="C100" s="8">
        <v>17.8</v>
      </c>
      <c r="D100" s="10">
        <f t="shared" si="2"/>
        <v>0</v>
      </c>
      <c r="E100" s="10">
        <f t="shared" ref="E100:E114" si="3">IF(D100=D99, E99, E99+1)</f>
        <v>2</v>
      </c>
      <c r="I100" s="17" t="s">
        <v>124</v>
      </c>
      <c r="J100">
        <v>17</v>
      </c>
    </row>
    <row r="101" spans="2:10" ht="15.75" x14ac:dyDescent="0.25">
      <c r="B101" s="8" t="s">
        <v>95</v>
      </c>
      <c r="C101" s="8">
        <v>16.100000000000001</v>
      </c>
      <c r="D101" s="10">
        <f t="shared" si="2"/>
        <v>0</v>
      </c>
      <c r="E101" s="10">
        <f t="shared" si="3"/>
        <v>2</v>
      </c>
    </row>
    <row r="102" spans="2:10" ht="15.75" x14ac:dyDescent="0.25">
      <c r="B102" s="8" t="s">
        <v>96</v>
      </c>
      <c r="C102" s="8">
        <v>17.600000000000001</v>
      </c>
      <c r="D102" s="10">
        <f t="shared" si="2"/>
        <v>0</v>
      </c>
      <c r="E102" s="10">
        <f t="shared" si="3"/>
        <v>2</v>
      </c>
    </row>
    <row r="103" spans="2:10" ht="15.75" x14ac:dyDescent="0.25">
      <c r="B103" s="8" t="s">
        <v>97</v>
      </c>
      <c r="C103" s="8">
        <v>17.8</v>
      </c>
      <c r="D103" s="10">
        <f t="shared" si="2"/>
        <v>0</v>
      </c>
      <c r="E103" s="10">
        <f t="shared" si="3"/>
        <v>2</v>
      </c>
    </row>
    <row r="104" spans="2:10" ht="15.75" x14ac:dyDescent="0.25">
      <c r="B104" s="8" t="s">
        <v>98</v>
      </c>
      <c r="C104" s="8">
        <v>18.3</v>
      </c>
      <c r="D104" s="10">
        <f t="shared" si="2"/>
        <v>0</v>
      </c>
      <c r="E104" s="10">
        <f t="shared" si="3"/>
        <v>2</v>
      </c>
    </row>
    <row r="105" spans="2:10" ht="15.75" x14ac:dyDescent="0.25">
      <c r="B105" s="8" t="s">
        <v>99</v>
      </c>
      <c r="C105" s="8">
        <v>17.3</v>
      </c>
      <c r="D105" s="10">
        <f t="shared" si="2"/>
        <v>0</v>
      </c>
      <c r="E105" s="10">
        <f t="shared" si="3"/>
        <v>2</v>
      </c>
      <c r="I105" s="17" t="s">
        <v>89</v>
      </c>
      <c r="J105">
        <v>-1.1583158907100046</v>
      </c>
    </row>
    <row r="106" spans="2:10" ht="15.75" x14ac:dyDescent="0.25">
      <c r="B106" s="8" t="s">
        <v>100</v>
      </c>
      <c r="C106" s="8">
        <v>21.4</v>
      </c>
      <c r="D106" s="10">
        <f t="shared" si="2"/>
        <v>1</v>
      </c>
      <c r="E106" s="10">
        <f t="shared" si="3"/>
        <v>3</v>
      </c>
      <c r="I106" s="17" t="s">
        <v>125</v>
      </c>
      <c r="J106">
        <f>_xlfn.NORM.S.DIST(J105, TRUE)</f>
        <v>0.1233675744503831</v>
      </c>
    </row>
    <row r="107" spans="2:10" ht="15.75" x14ac:dyDescent="0.25">
      <c r="B107" s="8" t="s">
        <v>101</v>
      </c>
      <c r="C107" s="8">
        <v>19.3</v>
      </c>
      <c r="D107" s="10">
        <f t="shared" si="2"/>
        <v>0</v>
      </c>
      <c r="E107" s="10">
        <f t="shared" si="3"/>
        <v>4</v>
      </c>
    </row>
    <row r="108" spans="2:10" ht="15.75" x14ac:dyDescent="0.25">
      <c r="B108" s="8" t="s">
        <v>102</v>
      </c>
      <c r="C108" s="8">
        <v>18.100000000000001</v>
      </c>
      <c r="D108" s="10">
        <f t="shared" si="2"/>
        <v>0</v>
      </c>
      <c r="E108" s="10">
        <f t="shared" si="3"/>
        <v>4</v>
      </c>
    </row>
    <row r="109" spans="2:10" ht="15.75" x14ac:dyDescent="0.25">
      <c r="B109" s="8" t="s">
        <v>103</v>
      </c>
      <c r="C109" s="8">
        <v>19.5</v>
      </c>
      <c r="D109" s="10">
        <f t="shared" si="2"/>
        <v>1</v>
      </c>
      <c r="E109" s="10">
        <f t="shared" si="3"/>
        <v>5</v>
      </c>
    </row>
    <row r="110" spans="2:10" ht="15.75" x14ac:dyDescent="0.25">
      <c r="B110" s="8" t="s">
        <v>104</v>
      </c>
      <c r="C110" s="8">
        <v>19.2</v>
      </c>
      <c r="D110" s="10">
        <f t="shared" si="2"/>
        <v>0</v>
      </c>
      <c r="E110" s="10">
        <f t="shared" si="3"/>
        <v>6</v>
      </c>
    </row>
    <row r="111" spans="2:10" ht="15.75" x14ac:dyDescent="0.25">
      <c r="B111" s="8" t="s">
        <v>105</v>
      </c>
      <c r="C111" s="8">
        <v>22.2</v>
      </c>
      <c r="D111" s="10">
        <f t="shared" si="2"/>
        <v>1</v>
      </c>
      <c r="E111" s="10">
        <f t="shared" si="3"/>
        <v>7</v>
      </c>
    </row>
    <row r="112" spans="2:10" ht="15.75" x14ac:dyDescent="0.25">
      <c r="B112" s="8" t="s">
        <v>106</v>
      </c>
      <c r="C112" s="8">
        <v>20.9</v>
      </c>
      <c r="D112" s="10">
        <f t="shared" si="2"/>
        <v>1</v>
      </c>
      <c r="E112" s="10">
        <f t="shared" si="3"/>
        <v>7</v>
      </c>
    </row>
    <row r="113" spans="2:5" ht="15.75" x14ac:dyDescent="0.25">
      <c r="B113" s="8" t="s">
        <v>107</v>
      </c>
      <c r="C113" s="8">
        <v>21.5</v>
      </c>
      <c r="D113" s="10">
        <f t="shared" si="2"/>
        <v>1</v>
      </c>
      <c r="E113" s="10">
        <f t="shared" si="3"/>
        <v>7</v>
      </c>
    </row>
    <row r="114" spans="2:5" ht="15.75" x14ac:dyDescent="0.25">
      <c r="B114" s="8" t="s">
        <v>108</v>
      </c>
      <c r="C114" s="8">
        <v>21.9</v>
      </c>
      <c r="D114" s="10">
        <f t="shared" si="2"/>
        <v>1</v>
      </c>
      <c r="E114" s="10">
        <f t="shared" si="3"/>
        <v>7</v>
      </c>
    </row>
    <row r="115" spans="2:5" ht="15.75" x14ac:dyDescent="0.25">
      <c r="B115" s="18" t="s">
        <v>119</v>
      </c>
      <c r="C115" s="10">
        <f>AVERAGE(C98:C114)</f>
        <v>19.358823529411762</v>
      </c>
      <c r="D115" s="10"/>
      <c r="E115" s="10"/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B58"/>
  <sheetViews>
    <sheetView tabSelected="1" workbookViewId="0">
      <selection activeCell="D5" sqref="D5"/>
    </sheetView>
  </sheetViews>
  <sheetFormatPr defaultRowHeight="15" x14ac:dyDescent="0.25"/>
  <cols>
    <col min="13" max="13" width="18" bestFit="1" customWidth="1"/>
    <col min="14" max="14" width="12.7109375" bestFit="1" customWidth="1"/>
    <col min="15" max="15" width="14.5703125" bestFit="1" customWidth="1"/>
    <col min="17" max="17" width="12" bestFit="1" customWidth="1"/>
    <col min="18" max="18" width="13.42578125" bestFit="1" customWidth="1"/>
  </cols>
  <sheetData>
    <row r="2" spans="2:28" x14ac:dyDescent="0.25">
      <c r="F2" s="17" t="s">
        <v>131</v>
      </c>
      <c r="G2" s="17" t="s">
        <v>132</v>
      </c>
      <c r="H2" s="17" t="s">
        <v>133</v>
      </c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</row>
    <row r="3" spans="2:28" x14ac:dyDescent="0.25">
      <c r="B3" s="16"/>
      <c r="C3" s="24" t="s">
        <v>126</v>
      </c>
      <c r="D3" s="24" t="s">
        <v>127</v>
      </c>
      <c r="E3" s="24" t="s">
        <v>128</v>
      </c>
      <c r="F3" s="25" t="s">
        <v>116</v>
      </c>
      <c r="G3" s="25" t="s">
        <v>129</v>
      </c>
      <c r="H3" s="25" t="s">
        <v>130</v>
      </c>
      <c r="M3" t="s">
        <v>134</v>
      </c>
      <c r="V3" s="20"/>
      <c r="W3" s="20"/>
      <c r="X3" s="20"/>
      <c r="Y3" s="20"/>
      <c r="Z3" s="20"/>
      <c r="AA3" s="20"/>
      <c r="AB3" s="20"/>
    </row>
    <row r="4" spans="2:28" ht="15.75" thickBot="1" x14ac:dyDescent="0.3">
      <c r="B4" s="24">
        <v>1</v>
      </c>
      <c r="C4" s="24">
        <v>6</v>
      </c>
      <c r="D4" s="24">
        <v>110</v>
      </c>
      <c r="E4" s="24">
        <v>30</v>
      </c>
      <c r="F4" s="10">
        <f>LN(C4)</f>
        <v>1.791759469228055</v>
      </c>
      <c r="G4" s="10">
        <f>LN(D4)</f>
        <v>4.7004803657924166</v>
      </c>
      <c r="H4" s="10">
        <f>LN(E4)</f>
        <v>3.4011973816621555</v>
      </c>
      <c r="V4" s="20"/>
      <c r="W4" s="20"/>
      <c r="X4" s="20"/>
      <c r="Y4" s="20"/>
      <c r="Z4" s="20"/>
      <c r="AA4" s="20"/>
      <c r="AB4" s="20"/>
    </row>
    <row r="5" spans="2:28" x14ac:dyDescent="0.25">
      <c r="B5" s="24">
        <v>2</v>
      </c>
      <c r="C5" s="24">
        <v>12</v>
      </c>
      <c r="D5" s="24">
        <v>120</v>
      </c>
      <c r="E5" s="24">
        <v>40</v>
      </c>
      <c r="F5" s="10">
        <f t="shared" ref="F5:F18" si="0">LN(C5)</f>
        <v>2.4849066497880004</v>
      </c>
      <c r="G5" s="10">
        <f t="shared" ref="G5:G18" si="1">LN(D5)</f>
        <v>4.7874917427820458</v>
      </c>
      <c r="H5" s="10">
        <f t="shared" ref="H5:H18" si="2">LN(E5)</f>
        <v>3.6888794541139363</v>
      </c>
      <c r="M5" s="29" t="s">
        <v>135</v>
      </c>
      <c r="N5" s="29"/>
      <c r="V5" s="20"/>
      <c r="W5" s="20"/>
      <c r="X5" s="20"/>
      <c r="Y5" s="20"/>
      <c r="Z5" s="20"/>
      <c r="AA5" s="20"/>
      <c r="AB5" s="20"/>
    </row>
    <row r="6" spans="2:28" x14ac:dyDescent="0.25">
      <c r="B6" s="24">
        <v>3</v>
      </c>
      <c r="C6" s="24">
        <v>19</v>
      </c>
      <c r="D6" s="24">
        <v>143</v>
      </c>
      <c r="E6" s="24">
        <v>42</v>
      </c>
      <c r="F6" s="10">
        <f t="shared" si="0"/>
        <v>2.9444389791664403</v>
      </c>
      <c r="G6" s="10">
        <f t="shared" si="1"/>
        <v>4.962844630259907</v>
      </c>
      <c r="H6" s="10">
        <f t="shared" si="2"/>
        <v>3.7376696182833684</v>
      </c>
      <c r="M6" s="26" t="s">
        <v>136</v>
      </c>
      <c r="N6" s="26">
        <v>0.95636074660553672</v>
      </c>
      <c r="V6" s="20"/>
      <c r="W6" s="20"/>
      <c r="X6" s="20"/>
      <c r="Y6" s="20"/>
      <c r="Z6" s="20"/>
      <c r="AA6" s="20"/>
      <c r="AB6" s="20"/>
    </row>
    <row r="7" spans="2:28" x14ac:dyDescent="0.25">
      <c r="B7" s="24">
        <v>4</v>
      </c>
      <c r="C7" s="24">
        <v>25</v>
      </c>
      <c r="D7" s="24">
        <v>150</v>
      </c>
      <c r="E7" s="24">
        <v>40</v>
      </c>
      <c r="F7" s="10">
        <f t="shared" si="0"/>
        <v>3.2188758248682006</v>
      </c>
      <c r="G7" s="10">
        <f t="shared" si="1"/>
        <v>5.0106352940962555</v>
      </c>
      <c r="H7" s="10">
        <f t="shared" si="2"/>
        <v>3.6888794541139363</v>
      </c>
      <c r="M7" s="26" t="s">
        <v>137</v>
      </c>
      <c r="N7" s="26">
        <v>0.91462587764789971</v>
      </c>
      <c r="V7" s="20"/>
      <c r="W7" s="20"/>
      <c r="X7" s="20"/>
      <c r="Y7" s="20"/>
      <c r="Z7" s="20"/>
      <c r="AA7" s="20"/>
      <c r="AB7" s="20"/>
    </row>
    <row r="8" spans="2:28" x14ac:dyDescent="0.25">
      <c r="B8" s="24">
        <v>5</v>
      </c>
      <c r="C8" s="24">
        <v>30</v>
      </c>
      <c r="D8" s="24">
        <v>152</v>
      </c>
      <c r="E8" s="24">
        <v>51</v>
      </c>
      <c r="F8" s="10">
        <f t="shared" si="0"/>
        <v>3.4011973816621555</v>
      </c>
      <c r="G8" s="10">
        <f t="shared" si="1"/>
        <v>5.0238805208462765</v>
      </c>
      <c r="H8" s="10">
        <f t="shared" si="2"/>
        <v>3.9318256327243257</v>
      </c>
      <c r="M8" s="26" t="s">
        <v>138</v>
      </c>
      <c r="N8" s="26">
        <v>0.90039685725588292</v>
      </c>
      <c r="V8" s="20"/>
      <c r="W8" s="20"/>
      <c r="X8" s="20"/>
      <c r="Y8" s="20"/>
      <c r="Z8" s="20"/>
      <c r="AA8" s="20"/>
      <c r="AB8" s="20"/>
    </row>
    <row r="9" spans="2:28" x14ac:dyDescent="0.25">
      <c r="B9" s="24">
        <v>6</v>
      </c>
      <c r="C9" s="24">
        <v>36</v>
      </c>
      <c r="D9" s="24">
        <v>162</v>
      </c>
      <c r="E9" s="24">
        <v>59</v>
      </c>
      <c r="F9" s="10">
        <f t="shared" si="0"/>
        <v>3.5835189384561099</v>
      </c>
      <c r="G9" s="10">
        <f t="shared" si="1"/>
        <v>5.0875963352323836</v>
      </c>
      <c r="H9" s="10">
        <f t="shared" si="2"/>
        <v>4.0775374439057197</v>
      </c>
      <c r="M9" s="26" t="s">
        <v>139</v>
      </c>
      <c r="N9" s="26">
        <v>0.19388888356372988</v>
      </c>
      <c r="V9" s="20"/>
      <c r="W9" s="20"/>
      <c r="X9" s="20"/>
      <c r="Y9" s="20"/>
      <c r="Z9" s="20"/>
      <c r="AA9" s="20"/>
      <c r="AB9" s="20"/>
    </row>
    <row r="10" spans="2:28" ht="15.75" thickBot="1" x14ac:dyDescent="0.3">
      <c r="B10" s="24">
        <v>7</v>
      </c>
      <c r="C10" s="24">
        <v>38</v>
      </c>
      <c r="D10" s="24">
        <v>180</v>
      </c>
      <c r="E10" s="24">
        <v>60</v>
      </c>
      <c r="F10" s="10">
        <f t="shared" si="0"/>
        <v>3.6375861597263857</v>
      </c>
      <c r="G10" s="10">
        <f t="shared" si="1"/>
        <v>5.1929568508902104</v>
      </c>
      <c r="H10" s="10">
        <f t="shared" si="2"/>
        <v>4.0943445622221004</v>
      </c>
      <c r="M10" s="27" t="s">
        <v>140</v>
      </c>
      <c r="N10" s="27">
        <v>15</v>
      </c>
      <c r="V10" s="20"/>
      <c r="W10" s="20"/>
      <c r="X10" s="20"/>
      <c r="Y10" s="20"/>
      <c r="Z10" s="20"/>
      <c r="AA10" s="20"/>
      <c r="AB10" s="20"/>
    </row>
    <row r="11" spans="2:28" x14ac:dyDescent="0.25">
      <c r="B11" s="24">
        <v>8</v>
      </c>
      <c r="C11" s="24">
        <v>43</v>
      </c>
      <c r="D11" s="24">
        <v>182</v>
      </c>
      <c r="E11" s="24">
        <v>63</v>
      </c>
      <c r="F11" s="10">
        <f t="shared" si="0"/>
        <v>3.7612001156935624</v>
      </c>
      <c r="G11" s="10">
        <f t="shared" si="1"/>
        <v>5.2040066870767951</v>
      </c>
      <c r="H11" s="10">
        <f>LN(E11)</f>
        <v>4.1431347263915326</v>
      </c>
      <c r="V11" s="20"/>
      <c r="W11" s="20"/>
      <c r="X11" s="20"/>
      <c r="Y11" s="20"/>
      <c r="Z11" s="20"/>
      <c r="AA11" s="20"/>
      <c r="AB11" s="20"/>
    </row>
    <row r="12" spans="2:28" ht="15.75" thickBot="1" x14ac:dyDescent="0.3">
      <c r="B12" s="24">
        <v>9</v>
      </c>
      <c r="C12" s="24">
        <v>44</v>
      </c>
      <c r="D12" s="24">
        <v>180</v>
      </c>
      <c r="E12" s="24">
        <v>61</v>
      </c>
      <c r="F12" s="10">
        <f t="shared" si="0"/>
        <v>3.784189633918261</v>
      </c>
      <c r="G12" s="10">
        <f t="shared" si="1"/>
        <v>5.1929568508902104</v>
      </c>
      <c r="H12" s="10">
        <f t="shared" si="2"/>
        <v>4.1108738641733114</v>
      </c>
      <c r="M12" t="s">
        <v>141</v>
      </c>
      <c r="V12" s="20"/>
      <c r="W12" s="20"/>
      <c r="X12" s="20"/>
      <c r="Y12" s="20"/>
      <c r="Z12" s="20"/>
      <c r="AA12" s="20"/>
      <c r="AB12" s="20"/>
    </row>
    <row r="13" spans="2:28" x14ac:dyDescent="0.25">
      <c r="B13" s="24">
        <v>10</v>
      </c>
      <c r="C13" s="24">
        <v>49</v>
      </c>
      <c r="D13" s="24">
        <v>175</v>
      </c>
      <c r="E13" s="24">
        <v>63</v>
      </c>
      <c r="F13" s="10">
        <f t="shared" si="0"/>
        <v>3.8918202981106265</v>
      </c>
      <c r="G13" s="10">
        <f t="shared" si="1"/>
        <v>5.1647859739235145</v>
      </c>
      <c r="H13" s="10">
        <f t="shared" si="2"/>
        <v>4.1431347263915326</v>
      </c>
      <c r="M13" s="28"/>
      <c r="N13" s="28" t="s">
        <v>145</v>
      </c>
      <c r="O13" s="28" t="s">
        <v>146</v>
      </c>
      <c r="P13" s="28" t="s">
        <v>147</v>
      </c>
      <c r="Q13" s="28" t="s">
        <v>148</v>
      </c>
      <c r="R13" s="28" t="s">
        <v>149</v>
      </c>
      <c r="V13" s="20"/>
      <c r="W13" s="20"/>
      <c r="X13" s="20"/>
      <c r="Y13" s="20"/>
      <c r="Z13" s="20"/>
      <c r="AA13" s="20"/>
      <c r="AB13" s="20"/>
    </row>
    <row r="14" spans="2:28" x14ac:dyDescent="0.25">
      <c r="B14" s="24">
        <v>11</v>
      </c>
      <c r="C14" s="24">
        <v>50</v>
      </c>
      <c r="D14" s="24">
        <v>195</v>
      </c>
      <c r="E14" s="24">
        <v>85</v>
      </c>
      <c r="F14" s="10">
        <f t="shared" si="0"/>
        <v>3.912023005428146</v>
      </c>
      <c r="G14" s="10">
        <f t="shared" si="1"/>
        <v>5.2729995585637468</v>
      </c>
      <c r="H14" s="10">
        <f t="shared" si="2"/>
        <v>4.4426512564903167</v>
      </c>
      <c r="M14" s="26" t="s">
        <v>142</v>
      </c>
      <c r="N14" s="26">
        <v>2</v>
      </c>
      <c r="O14" s="26">
        <v>4.8328609347704568</v>
      </c>
      <c r="P14" s="26">
        <v>2.4164304673852284</v>
      </c>
      <c r="Q14" s="26">
        <v>64.278906941552833</v>
      </c>
      <c r="R14" s="26">
        <v>3.8721976132550833E-7</v>
      </c>
      <c r="V14" s="20"/>
      <c r="W14" s="20"/>
      <c r="X14" s="20"/>
      <c r="Y14" s="20"/>
      <c r="Z14" s="20"/>
      <c r="AA14" s="20"/>
      <c r="AB14" s="20"/>
    </row>
    <row r="15" spans="2:28" x14ac:dyDescent="0.25">
      <c r="B15" s="24">
        <v>12</v>
      </c>
      <c r="C15" s="24">
        <v>52</v>
      </c>
      <c r="D15" s="24">
        <v>196</v>
      </c>
      <c r="E15" s="24">
        <v>90</v>
      </c>
      <c r="F15" s="10">
        <f t="shared" si="0"/>
        <v>3.9512437185814275</v>
      </c>
      <c r="G15" s="10">
        <f t="shared" si="1"/>
        <v>5.2781146592305168</v>
      </c>
      <c r="H15" s="10">
        <f t="shared" si="2"/>
        <v>4.499809670330265</v>
      </c>
      <c r="M15" s="26" t="s">
        <v>143</v>
      </c>
      <c r="N15" s="26">
        <v>12</v>
      </c>
      <c r="O15" s="26">
        <v>0.45111479003507515</v>
      </c>
      <c r="P15" s="26">
        <v>3.7592899169589598E-2</v>
      </c>
      <c r="Q15" s="26"/>
      <c r="R15" s="26"/>
      <c r="V15" s="20"/>
      <c r="W15" s="20"/>
      <c r="X15" s="20"/>
      <c r="Y15" s="20"/>
      <c r="Z15" s="20"/>
      <c r="AA15" s="20"/>
      <c r="AB15" s="20"/>
    </row>
    <row r="16" spans="2:28" ht="15.75" thickBot="1" x14ac:dyDescent="0.3">
      <c r="B16" s="24">
        <v>13</v>
      </c>
      <c r="C16" s="24">
        <v>54</v>
      </c>
      <c r="D16" s="24">
        <v>183</v>
      </c>
      <c r="E16" s="24">
        <v>98</v>
      </c>
      <c r="F16" s="10">
        <f t="shared" si="0"/>
        <v>3.9889840465642745</v>
      </c>
      <c r="G16" s="10">
        <f t="shared" si="1"/>
        <v>5.2094861528414214</v>
      </c>
      <c r="H16" s="10">
        <f t="shared" si="2"/>
        <v>4.5849674786705723</v>
      </c>
      <c r="M16" s="27" t="s">
        <v>37</v>
      </c>
      <c r="N16" s="27">
        <v>14</v>
      </c>
      <c r="O16" s="27">
        <v>5.2839757248055319</v>
      </c>
      <c r="P16" s="27"/>
      <c r="Q16" s="27"/>
      <c r="R16" s="27"/>
      <c r="V16" s="20"/>
      <c r="W16" s="20"/>
      <c r="X16" s="20"/>
      <c r="Y16" s="20"/>
      <c r="Z16" s="20"/>
      <c r="AA16" s="20"/>
      <c r="AB16" s="20"/>
    </row>
    <row r="17" spans="2:28" ht="15.75" thickBot="1" x14ac:dyDescent="0.3">
      <c r="B17" s="24">
        <v>14</v>
      </c>
      <c r="C17" s="24">
        <v>41</v>
      </c>
      <c r="D17" s="24">
        <v>190</v>
      </c>
      <c r="E17" s="24">
        <v>90</v>
      </c>
      <c r="F17" s="10">
        <f t="shared" si="0"/>
        <v>3.713572066704308</v>
      </c>
      <c r="G17" s="10">
        <f t="shared" si="1"/>
        <v>5.2470240721604862</v>
      </c>
      <c r="H17" s="10">
        <f t="shared" si="2"/>
        <v>4.499809670330265</v>
      </c>
      <c r="V17" s="20"/>
      <c r="W17" s="20"/>
      <c r="X17" s="20"/>
      <c r="Y17" s="20"/>
      <c r="Z17" s="20"/>
      <c r="AA17" s="20"/>
      <c r="AB17" s="20"/>
    </row>
    <row r="18" spans="2:28" x14ac:dyDescent="0.25">
      <c r="B18" s="24">
        <v>15</v>
      </c>
      <c r="C18" s="24">
        <v>35</v>
      </c>
      <c r="D18" s="24">
        <v>150</v>
      </c>
      <c r="E18" s="24">
        <v>80</v>
      </c>
      <c r="F18" s="10">
        <f t="shared" si="0"/>
        <v>3.5553480614894135</v>
      </c>
      <c r="G18" s="10">
        <f t="shared" si="1"/>
        <v>5.0106352940962555</v>
      </c>
      <c r="H18" s="10">
        <f t="shared" si="2"/>
        <v>4.3820266346738812</v>
      </c>
      <c r="M18" s="28"/>
      <c r="N18" s="28" t="s">
        <v>150</v>
      </c>
      <c r="O18" s="28" t="s">
        <v>139</v>
      </c>
      <c r="P18" s="28" t="s">
        <v>151</v>
      </c>
      <c r="Q18" s="28" t="s">
        <v>152</v>
      </c>
      <c r="R18" s="28" t="s">
        <v>153</v>
      </c>
      <c r="S18" s="28" t="s">
        <v>154</v>
      </c>
      <c r="T18" s="28" t="s">
        <v>155</v>
      </c>
      <c r="U18" s="28" t="s">
        <v>156</v>
      </c>
      <c r="V18" s="30"/>
      <c r="W18" s="20"/>
      <c r="X18" s="20"/>
      <c r="Y18" s="20"/>
      <c r="Z18" s="20"/>
      <c r="AA18" s="20"/>
      <c r="AB18" s="20"/>
    </row>
    <row r="19" spans="2:28" x14ac:dyDescent="0.25">
      <c r="M19" s="26" t="s">
        <v>144</v>
      </c>
      <c r="N19" s="26">
        <v>-11.912101672451231</v>
      </c>
      <c r="O19" s="26">
        <v>2.004357268743898</v>
      </c>
      <c r="P19" s="26">
        <v>-5.9431029877804038</v>
      </c>
      <c r="Q19" s="26">
        <v>6.7854166077835272E-5</v>
      </c>
      <c r="R19" s="26">
        <v>-16.2792210048272</v>
      </c>
      <c r="S19" s="26">
        <v>-7.5449823400752605</v>
      </c>
      <c r="T19" s="26">
        <v>-16.2792210048272</v>
      </c>
      <c r="U19" s="26">
        <v>-7.5449823400752605</v>
      </c>
      <c r="V19" s="26"/>
      <c r="W19" s="20"/>
      <c r="X19" s="20"/>
      <c r="Y19" s="20"/>
      <c r="Z19" s="20"/>
      <c r="AA19" s="20"/>
      <c r="AB19" s="20"/>
    </row>
    <row r="20" spans="2:28" x14ac:dyDescent="0.25">
      <c r="M20" s="26" t="s">
        <v>129</v>
      </c>
      <c r="N20" s="26">
        <v>2.7219009763464044</v>
      </c>
      <c r="O20" s="26">
        <v>0.56710720391451808</v>
      </c>
      <c r="P20" s="26">
        <v>4.7996233473286747</v>
      </c>
      <c r="Q20" s="26">
        <v>4.3381461102204652E-4</v>
      </c>
      <c r="R20" s="26">
        <v>1.4862805246607433</v>
      </c>
      <c r="S20" s="26">
        <v>3.9575214280320656</v>
      </c>
      <c r="T20" s="26">
        <v>1.4862805246607433</v>
      </c>
      <c r="U20" s="26">
        <v>3.9575214280320656</v>
      </c>
      <c r="V20" s="26"/>
      <c r="W20" s="20"/>
      <c r="X20" s="20"/>
      <c r="Y20" s="20"/>
      <c r="Z20" s="20"/>
      <c r="AA20" s="20"/>
      <c r="AB20" s="20"/>
    </row>
    <row r="21" spans="2:28" ht="15.75" thickBot="1" x14ac:dyDescent="0.3">
      <c r="M21" s="27" t="s">
        <v>130</v>
      </c>
      <c r="N21" s="27">
        <v>0.36622849836733257</v>
      </c>
      <c r="O21" s="27">
        <v>0.27979501337555757</v>
      </c>
      <c r="P21" s="27">
        <v>1.3089171745736541</v>
      </c>
      <c r="Q21" s="27">
        <v>0.21507415031318358</v>
      </c>
      <c r="R21" s="27">
        <v>-0.24339246645224605</v>
      </c>
      <c r="S21" s="27">
        <v>0.97584946318691124</v>
      </c>
      <c r="T21" s="27">
        <v>-0.24339246645224605</v>
      </c>
      <c r="U21" s="27">
        <v>0.97584946318691124</v>
      </c>
      <c r="V21" s="26"/>
      <c r="W21" s="20"/>
      <c r="X21" s="20"/>
      <c r="Y21" s="20"/>
      <c r="Z21" s="20"/>
      <c r="AA21" s="20"/>
      <c r="AB21" s="20"/>
    </row>
    <row r="22" spans="2:28" x14ac:dyDescent="0.25">
      <c r="V22" s="20"/>
      <c r="W22" s="20"/>
      <c r="X22" s="20"/>
      <c r="Y22" s="20"/>
      <c r="Z22" s="20"/>
      <c r="AA22" s="20"/>
      <c r="AB22" s="20"/>
    </row>
    <row r="23" spans="2:28" x14ac:dyDescent="0.25">
      <c r="V23" s="20"/>
      <c r="W23" s="20"/>
      <c r="X23" s="20"/>
      <c r="Y23" s="20"/>
      <c r="Z23" s="20"/>
      <c r="AA23" s="20"/>
      <c r="AB23" s="20"/>
    </row>
    <row r="24" spans="2:28" x14ac:dyDescent="0.25">
      <c r="L24" s="33" t="s">
        <v>157</v>
      </c>
      <c r="M24" s="10">
        <f>EXP(N19)</f>
        <v>6.7087247818839355E-6</v>
      </c>
      <c r="V24" s="20"/>
      <c r="W24" s="20"/>
      <c r="X24" s="20"/>
      <c r="Y24" s="20"/>
      <c r="Z24" s="20"/>
      <c r="AA24" s="20"/>
      <c r="AB24" s="20"/>
    </row>
    <row r="25" spans="2:28" x14ac:dyDescent="0.25">
      <c r="L25" s="33" t="s">
        <v>158</v>
      </c>
      <c r="M25" s="10">
        <f>N20</f>
        <v>2.7219009763464044</v>
      </c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</row>
    <row r="26" spans="2:28" x14ac:dyDescent="0.25">
      <c r="L26" s="33" t="s">
        <v>159</v>
      </c>
      <c r="M26" s="33">
        <f>N21</f>
        <v>0.36622849836733257</v>
      </c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</row>
    <row r="27" spans="2:28" x14ac:dyDescent="0.25">
      <c r="M27" s="31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</row>
    <row r="28" spans="2:28" x14ac:dyDescent="0.25">
      <c r="M28" s="32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</row>
    <row r="29" spans="2:28" x14ac:dyDescent="0.25"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</row>
    <row r="30" spans="2:28" x14ac:dyDescent="0.25"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</row>
    <row r="31" spans="2:28" x14ac:dyDescent="0.25"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</row>
    <row r="32" spans="2:28" x14ac:dyDescent="0.25"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</row>
    <row r="33" spans="2:28" x14ac:dyDescent="0.25"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</row>
    <row r="34" spans="2:28" x14ac:dyDescent="0.25">
      <c r="B34" s="16"/>
      <c r="C34" s="24" t="s">
        <v>126</v>
      </c>
      <c r="D34" s="24" t="s">
        <v>127</v>
      </c>
      <c r="E34" s="24" t="s">
        <v>128</v>
      </c>
      <c r="F34" s="25" t="s">
        <v>116</v>
      </c>
      <c r="G34" s="25" t="s">
        <v>129</v>
      </c>
      <c r="H34" s="25" t="s">
        <v>130</v>
      </c>
      <c r="I34" s="25" t="s">
        <v>160</v>
      </c>
      <c r="M34" t="s">
        <v>134</v>
      </c>
      <c r="V34" s="20"/>
      <c r="W34" s="20"/>
      <c r="X34" s="20"/>
      <c r="Y34" s="20"/>
      <c r="Z34" s="20"/>
      <c r="AA34" s="20"/>
      <c r="AB34" s="20"/>
    </row>
    <row r="35" spans="2:28" ht="15.75" thickBot="1" x14ac:dyDescent="0.3">
      <c r="B35" s="24">
        <v>1</v>
      </c>
      <c r="C35" s="24">
        <v>6</v>
      </c>
      <c r="D35" s="24">
        <v>110</v>
      </c>
      <c r="E35" s="24">
        <v>30</v>
      </c>
      <c r="F35" s="10">
        <f>LN(C35)</f>
        <v>1.791759469228055</v>
      </c>
      <c r="G35" s="10">
        <f>LN(D35)</f>
        <v>4.7004803657924166</v>
      </c>
      <c r="H35" s="10">
        <f>LN(E35)</f>
        <v>3.4011973816621555</v>
      </c>
      <c r="I35" s="10">
        <f>(G35-H35)^2</f>
        <v>1.6881362728504363</v>
      </c>
      <c r="V35" s="20"/>
      <c r="W35" s="20"/>
      <c r="X35" s="20"/>
      <c r="Y35" s="20"/>
      <c r="Z35" s="20"/>
      <c r="AA35" s="20"/>
      <c r="AB35" s="20"/>
    </row>
    <row r="36" spans="2:28" x14ac:dyDescent="0.25">
      <c r="B36" s="24">
        <v>2</v>
      </c>
      <c r="C36" s="24">
        <v>12</v>
      </c>
      <c r="D36" s="24">
        <v>120</v>
      </c>
      <c r="E36" s="24">
        <v>40</v>
      </c>
      <c r="F36" s="10">
        <f t="shared" ref="F36:F49" si="3">LN(C36)</f>
        <v>2.4849066497880004</v>
      </c>
      <c r="G36" s="10">
        <f t="shared" ref="G36:G49" si="4">LN(D36)</f>
        <v>4.7874917427820458</v>
      </c>
      <c r="H36" s="10">
        <f t="shared" ref="H36:H49" si="5">LN(E36)</f>
        <v>3.6888794541139363</v>
      </c>
      <c r="I36" s="10">
        <f t="shared" ref="I36:I49" si="6">(G36-H36)^2</f>
        <v>1.2069489608125816</v>
      </c>
      <c r="M36" s="29" t="s">
        <v>135</v>
      </c>
      <c r="N36" s="29"/>
      <c r="V36" s="20"/>
      <c r="W36" s="20"/>
      <c r="X36" s="20"/>
      <c r="Y36" s="20"/>
      <c r="Z36" s="20"/>
      <c r="AA36" s="20"/>
      <c r="AB36" s="20"/>
    </row>
    <row r="37" spans="2:28" x14ac:dyDescent="0.25">
      <c r="B37" s="24">
        <v>3</v>
      </c>
      <c r="C37" s="24">
        <v>19</v>
      </c>
      <c r="D37" s="24">
        <v>143</v>
      </c>
      <c r="E37" s="24">
        <v>42</v>
      </c>
      <c r="F37" s="10">
        <f t="shared" si="3"/>
        <v>2.9444389791664403</v>
      </c>
      <c r="G37" s="10">
        <f t="shared" si="4"/>
        <v>4.962844630259907</v>
      </c>
      <c r="H37" s="10">
        <f t="shared" si="5"/>
        <v>3.7376696182833684</v>
      </c>
      <c r="I37" s="10">
        <f t="shared" si="6"/>
        <v>1.5010538099717115</v>
      </c>
      <c r="M37" s="26" t="s">
        <v>136</v>
      </c>
      <c r="N37" s="26">
        <v>0.95674507977866774</v>
      </c>
      <c r="V37" s="20"/>
      <c r="W37" s="20"/>
      <c r="X37" s="20"/>
      <c r="Y37" s="20"/>
      <c r="Z37" s="20"/>
      <c r="AA37" s="20"/>
      <c r="AB37" s="20"/>
    </row>
    <row r="38" spans="2:28" x14ac:dyDescent="0.25">
      <c r="B38" s="24">
        <v>4</v>
      </c>
      <c r="C38" s="24">
        <v>25</v>
      </c>
      <c r="D38" s="24">
        <v>150</v>
      </c>
      <c r="E38" s="24">
        <v>40</v>
      </c>
      <c r="F38" s="10">
        <f t="shared" si="3"/>
        <v>3.2188758248682006</v>
      </c>
      <c r="G38" s="10">
        <f t="shared" si="4"/>
        <v>5.0106352940962555</v>
      </c>
      <c r="H38" s="10">
        <f t="shared" si="5"/>
        <v>3.6888794541139363</v>
      </c>
      <c r="I38" s="10">
        <f t="shared" si="6"/>
        <v>1.7470385005273663</v>
      </c>
      <c r="M38" s="26" t="s">
        <v>137</v>
      </c>
      <c r="N38" s="26">
        <v>0.91536114768068921</v>
      </c>
      <c r="V38" s="20"/>
      <c r="W38" s="20"/>
      <c r="X38" s="20"/>
      <c r="Y38" s="20"/>
      <c r="Z38" s="20"/>
      <c r="AA38" s="20"/>
      <c r="AB38" s="20"/>
    </row>
    <row r="39" spans="2:28" x14ac:dyDescent="0.25">
      <c r="B39" s="24">
        <v>5</v>
      </c>
      <c r="C39" s="24">
        <v>30</v>
      </c>
      <c r="D39" s="24">
        <v>152</v>
      </c>
      <c r="E39" s="24">
        <v>51</v>
      </c>
      <c r="F39" s="10">
        <f t="shared" si="3"/>
        <v>3.4011973816621555</v>
      </c>
      <c r="G39" s="10">
        <f t="shared" si="4"/>
        <v>5.0238805208462765</v>
      </c>
      <c r="H39" s="10">
        <f t="shared" si="5"/>
        <v>3.9318256327243257</v>
      </c>
      <c r="I39" s="10">
        <f t="shared" si="6"/>
        <v>1.1925838786710463</v>
      </c>
      <c r="M39" s="26" t="s">
        <v>138</v>
      </c>
      <c r="N39" s="26">
        <v>0.89227782432087721</v>
      </c>
      <c r="V39" s="20"/>
      <c r="W39" s="20"/>
      <c r="X39" s="20"/>
      <c r="Y39" s="20"/>
      <c r="Z39" s="20"/>
      <c r="AA39" s="20"/>
      <c r="AB39" s="20"/>
    </row>
    <row r="40" spans="2:28" x14ac:dyDescent="0.25">
      <c r="B40" s="24">
        <v>6</v>
      </c>
      <c r="C40" s="24">
        <v>36</v>
      </c>
      <c r="D40" s="24">
        <v>162</v>
      </c>
      <c r="E40" s="24">
        <v>59</v>
      </c>
      <c r="F40" s="10">
        <f t="shared" si="3"/>
        <v>3.5835189384561099</v>
      </c>
      <c r="G40" s="10">
        <f t="shared" si="4"/>
        <v>5.0875963352323836</v>
      </c>
      <c r="H40" s="10">
        <f t="shared" si="5"/>
        <v>4.0775374439057197</v>
      </c>
      <c r="I40" s="10">
        <f t="shared" si="6"/>
        <v>1.0202189639480495</v>
      </c>
      <c r="M40" s="26" t="s">
        <v>139</v>
      </c>
      <c r="N40" s="26">
        <v>0.20163640567539978</v>
      </c>
      <c r="V40" s="20"/>
      <c r="W40" s="20"/>
      <c r="X40" s="20"/>
      <c r="Y40" s="20"/>
      <c r="Z40" s="20"/>
      <c r="AA40" s="20"/>
      <c r="AB40" s="20"/>
    </row>
    <row r="41" spans="2:28" ht="15.75" thickBot="1" x14ac:dyDescent="0.3">
      <c r="B41" s="24">
        <v>7</v>
      </c>
      <c r="C41" s="24">
        <v>38</v>
      </c>
      <c r="D41" s="24">
        <v>180</v>
      </c>
      <c r="E41" s="24">
        <v>60</v>
      </c>
      <c r="F41" s="10">
        <f t="shared" si="3"/>
        <v>3.6375861597263857</v>
      </c>
      <c r="G41" s="10">
        <f t="shared" si="4"/>
        <v>5.1929568508902104</v>
      </c>
      <c r="H41" s="10">
        <f t="shared" si="5"/>
        <v>4.0943445622221004</v>
      </c>
      <c r="I41" s="10">
        <f t="shared" si="6"/>
        <v>1.2069489608125827</v>
      </c>
      <c r="M41" s="27" t="s">
        <v>140</v>
      </c>
      <c r="N41" s="27">
        <v>15</v>
      </c>
      <c r="V41" s="20"/>
      <c r="W41" s="20"/>
      <c r="X41" s="20"/>
      <c r="Y41" s="20"/>
      <c r="Z41" s="20"/>
      <c r="AA41" s="20"/>
      <c r="AB41" s="20"/>
    </row>
    <row r="42" spans="2:28" x14ac:dyDescent="0.25">
      <c r="B42" s="24">
        <v>8</v>
      </c>
      <c r="C42" s="24">
        <v>43</v>
      </c>
      <c r="D42" s="24">
        <v>182</v>
      </c>
      <c r="E42" s="24">
        <v>63</v>
      </c>
      <c r="F42" s="10">
        <f t="shared" si="3"/>
        <v>3.7612001156935624</v>
      </c>
      <c r="G42" s="10">
        <f t="shared" si="4"/>
        <v>5.2040066870767951</v>
      </c>
      <c r="H42" s="10">
        <f>LN(E42)</f>
        <v>4.1431347263915326</v>
      </c>
      <c r="I42" s="10">
        <f t="shared" si="6"/>
        <v>1.1254493169681934</v>
      </c>
      <c r="V42" s="20"/>
      <c r="W42" s="20"/>
      <c r="X42" s="20"/>
      <c r="Y42" s="20"/>
      <c r="Z42" s="20"/>
      <c r="AA42" s="20"/>
      <c r="AB42" s="20"/>
    </row>
    <row r="43" spans="2:28" ht="15.75" thickBot="1" x14ac:dyDescent="0.3">
      <c r="B43" s="24">
        <v>9</v>
      </c>
      <c r="C43" s="24">
        <v>44</v>
      </c>
      <c r="D43" s="24">
        <v>180</v>
      </c>
      <c r="E43" s="24">
        <v>61</v>
      </c>
      <c r="F43" s="10">
        <f t="shared" si="3"/>
        <v>3.784189633918261</v>
      </c>
      <c r="G43" s="10">
        <f t="shared" si="4"/>
        <v>5.1929568508902104</v>
      </c>
      <c r="H43" s="10">
        <f t="shared" ref="H43:H49" si="7">LN(E43)</f>
        <v>4.1108738641733114</v>
      </c>
      <c r="I43" s="10">
        <f t="shared" si="6"/>
        <v>1.1709035901421647</v>
      </c>
      <c r="M43" t="s">
        <v>141</v>
      </c>
      <c r="V43" s="20"/>
      <c r="W43" s="20"/>
      <c r="X43" s="20"/>
      <c r="Y43" s="20"/>
      <c r="Z43" s="20"/>
      <c r="AA43" s="20"/>
      <c r="AB43" s="20"/>
    </row>
    <row r="44" spans="2:28" x14ac:dyDescent="0.25">
      <c r="B44" s="24">
        <v>10</v>
      </c>
      <c r="C44" s="24">
        <v>49</v>
      </c>
      <c r="D44" s="24">
        <v>175</v>
      </c>
      <c r="E44" s="24">
        <v>63</v>
      </c>
      <c r="F44" s="10">
        <f t="shared" si="3"/>
        <v>3.8918202981106265</v>
      </c>
      <c r="G44" s="10">
        <f t="shared" si="4"/>
        <v>5.1647859739235145</v>
      </c>
      <c r="H44" s="10">
        <f t="shared" si="7"/>
        <v>4.1431347263915326</v>
      </c>
      <c r="I44" s="10">
        <f t="shared" si="6"/>
        <v>1.0437712715836549</v>
      </c>
      <c r="M44" s="28"/>
      <c r="N44" s="28" t="s">
        <v>145</v>
      </c>
      <c r="O44" s="28" t="s">
        <v>146</v>
      </c>
      <c r="P44" s="28" t="s">
        <v>147</v>
      </c>
      <c r="Q44" s="28" t="s">
        <v>148</v>
      </c>
      <c r="R44" s="28" t="s">
        <v>149</v>
      </c>
      <c r="V44" s="20"/>
      <c r="W44" s="20"/>
      <c r="X44" s="20"/>
      <c r="Y44" s="20"/>
      <c r="Z44" s="20"/>
      <c r="AA44" s="20"/>
      <c r="AB44" s="20"/>
    </row>
    <row r="45" spans="2:28" x14ac:dyDescent="0.25">
      <c r="B45" s="24">
        <v>11</v>
      </c>
      <c r="C45" s="24">
        <v>50</v>
      </c>
      <c r="D45" s="24">
        <v>195</v>
      </c>
      <c r="E45" s="24">
        <v>85</v>
      </c>
      <c r="F45" s="10">
        <f t="shared" si="3"/>
        <v>3.912023005428146</v>
      </c>
      <c r="G45" s="10">
        <f t="shared" si="4"/>
        <v>5.2729995585637468</v>
      </c>
      <c r="H45" s="10">
        <f t="shared" si="7"/>
        <v>4.4426512564903167</v>
      </c>
      <c r="I45" s="10">
        <f t="shared" si="6"/>
        <v>0.68947830275622835</v>
      </c>
      <c r="M45" s="26" t="s">
        <v>142</v>
      </c>
      <c r="N45" s="26">
        <v>3</v>
      </c>
      <c r="O45" s="26">
        <v>4.8367460837748935</v>
      </c>
      <c r="P45" s="26">
        <v>1.6122486945916312</v>
      </c>
      <c r="Q45" s="26">
        <v>39.654651689987134</v>
      </c>
      <c r="R45" s="26">
        <v>3.4360344662519289E-6</v>
      </c>
      <c r="V45" s="20"/>
      <c r="W45" s="20"/>
      <c r="X45" s="20"/>
      <c r="Y45" s="20"/>
      <c r="Z45" s="20"/>
      <c r="AA45" s="20"/>
      <c r="AB45" s="20"/>
    </row>
    <row r="46" spans="2:28" x14ac:dyDescent="0.25">
      <c r="B46" s="24">
        <v>12</v>
      </c>
      <c r="C46" s="24">
        <v>52</v>
      </c>
      <c r="D46" s="24">
        <v>196</v>
      </c>
      <c r="E46" s="24">
        <v>90</v>
      </c>
      <c r="F46" s="10">
        <f t="shared" si="3"/>
        <v>3.9512437185814275</v>
      </c>
      <c r="G46" s="10">
        <f t="shared" si="4"/>
        <v>5.2781146592305168</v>
      </c>
      <c r="H46" s="10">
        <f t="shared" si="7"/>
        <v>4.499809670330265</v>
      </c>
      <c r="I46" s="10">
        <f t="shared" si="6"/>
        <v>0.60575865574702104</v>
      </c>
      <c r="M46" s="26" t="s">
        <v>143</v>
      </c>
      <c r="N46" s="26">
        <v>11</v>
      </c>
      <c r="O46" s="26">
        <v>0.44722964103063834</v>
      </c>
      <c r="P46" s="26">
        <v>4.0657240093694397E-2</v>
      </c>
      <c r="Q46" s="26"/>
      <c r="R46" s="26"/>
      <c r="V46" s="20"/>
      <c r="W46" s="20"/>
      <c r="X46" s="20"/>
      <c r="Y46" s="20"/>
      <c r="Z46" s="20"/>
      <c r="AA46" s="20"/>
      <c r="AB46" s="20"/>
    </row>
    <row r="47" spans="2:28" ht="15.75" thickBot="1" x14ac:dyDescent="0.3">
      <c r="B47" s="24">
        <v>13</v>
      </c>
      <c r="C47" s="24">
        <v>54</v>
      </c>
      <c r="D47" s="24">
        <v>183</v>
      </c>
      <c r="E47" s="24">
        <v>98</v>
      </c>
      <c r="F47" s="10">
        <f t="shared" si="3"/>
        <v>3.9889840465642745</v>
      </c>
      <c r="G47" s="10">
        <f t="shared" si="4"/>
        <v>5.2094861528414214</v>
      </c>
      <c r="H47" s="10">
        <f t="shared" si="7"/>
        <v>4.5849674786705723</v>
      </c>
      <c r="I47" s="10">
        <f t="shared" si="6"/>
        <v>0.39002357438811514</v>
      </c>
      <c r="M47" s="27" t="s">
        <v>37</v>
      </c>
      <c r="N47" s="27">
        <v>14</v>
      </c>
      <c r="O47" s="27">
        <v>5.2839757248055319</v>
      </c>
      <c r="P47" s="27"/>
      <c r="Q47" s="27"/>
      <c r="R47" s="27"/>
      <c r="V47" s="20"/>
      <c r="W47" s="20"/>
      <c r="X47" s="20"/>
      <c r="Y47" s="20"/>
      <c r="Z47" s="20"/>
      <c r="AA47" s="20"/>
      <c r="AB47" s="20"/>
    </row>
    <row r="48" spans="2:28" ht="15.75" thickBot="1" x14ac:dyDescent="0.3">
      <c r="B48" s="24">
        <v>14</v>
      </c>
      <c r="C48" s="24">
        <v>41</v>
      </c>
      <c r="D48" s="24">
        <v>190</v>
      </c>
      <c r="E48" s="24">
        <v>90</v>
      </c>
      <c r="F48" s="10">
        <f t="shared" si="3"/>
        <v>3.713572066704308</v>
      </c>
      <c r="G48" s="10">
        <f t="shared" si="4"/>
        <v>5.2470240721604862</v>
      </c>
      <c r="H48" s="10">
        <f t="shared" si="7"/>
        <v>4.499809670330265</v>
      </c>
      <c r="I48" s="10">
        <f t="shared" si="6"/>
        <v>0.55832936230249519</v>
      </c>
      <c r="V48" s="20"/>
      <c r="W48" s="20"/>
      <c r="X48" s="20"/>
      <c r="Y48" s="20"/>
      <c r="Z48" s="20"/>
      <c r="AA48" s="20"/>
      <c r="AB48" s="20"/>
    </row>
    <row r="49" spans="2:28" x14ac:dyDescent="0.25">
      <c r="B49" s="24">
        <v>15</v>
      </c>
      <c r="C49" s="24">
        <v>35</v>
      </c>
      <c r="D49" s="24">
        <v>150</v>
      </c>
      <c r="E49" s="24">
        <v>80</v>
      </c>
      <c r="F49" s="10">
        <f t="shared" si="3"/>
        <v>3.5553480614894135</v>
      </c>
      <c r="G49" s="10">
        <f t="shared" si="4"/>
        <v>5.0106352940962555</v>
      </c>
      <c r="H49" s="10">
        <f t="shared" si="7"/>
        <v>4.3820266346738812</v>
      </c>
      <c r="I49" s="10">
        <f t="shared" si="6"/>
        <v>0.39514884670079459</v>
      </c>
      <c r="M49" s="28"/>
      <c r="N49" s="28" t="s">
        <v>150</v>
      </c>
      <c r="O49" s="28" t="s">
        <v>139</v>
      </c>
      <c r="P49" s="28" t="s">
        <v>151</v>
      </c>
      <c r="Q49" s="28" t="s">
        <v>152</v>
      </c>
      <c r="R49" s="28" t="s">
        <v>153</v>
      </c>
      <c r="S49" s="28" t="s">
        <v>154</v>
      </c>
      <c r="T49" s="28" t="s">
        <v>155</v>
      </c>
      <c r="U49" s="28" t="s">
        <v>156</v>
      </c>
      <c r="V49" s="20"/>
      <c r="W49" s="20"/>
      <c r="X49" s="20"/>
      <c r="Y49" s="20"/>
      <c r="Z49" s="20"/>
      <c r="AA49" s="20"/>
      <c r="AB49" s="20"/>
    </row>
    <row r="50" spans="2:28" x14ac:dyDescent="0.25">
      <c r="M50" s="26" t="s">
        <v>144</v>
      </c>
      <c r="N50" s="26">
        <v>-11.915254786513559</v>
      </c>
      <c r="O50" s="26">
        <v>2.0844734713102215</v>
      </c>
      <c r="P50" s="26">
        <v>-5.7161940175828088</v>
      </c>
      <c r="Q50" s="26">
        <v>1.3492573151374347E-4</v>
      </c>
      <c r="R50" s="26">
        <v>-16.503149963472062</v>
      </c>
      <c r="S50" s="26">
        <v>-7.3273596095550584</v>
      </c>
      <c r="T50" s="26">
        <v>-16.503149963472062</v>
      </c>
      <c r="U50" s="26">
        <v>-7.3273596095550584</v>
      </c>
      <c r="V50" s="20"/>
      <c r="W50" s="20"/>
      <c r="X50" s="20"/>
      <c r="Y50" s="20"/>
      <c r="Z50" s="20"/>
      <c r="AA50" s="20"/>
      <c r="AB50" s="20"/>
    </row>
    <row r="51" spans="2:28" x14ac:dyDescent="0.25">
      <c r="M51" s="26" t="s">
        <v>129</v>
      </c>
      <c r="N51" s="26">
        <v>3.4162990807049711</v>
      </c>
      <c r="O51" s="26">
        <v>2.3224613110340253</v>
      </c>
      <c r="P51" s="26">
        <v>1.4709821276566017</v>
      </c>
      <c r="Q51" s="26">
        <v>0.16931521423296181</v>
      </c>
      <c r="R51" s="26">
        <v>-1.695403799767889</v>
      </c>
      <c r="S51" s="26">
        <v>8.5280019611778322</v>
      </c>
      <c r="T51" s="26">
        <v>-1.695403799767889</v>
      </c>
      <c r="U51" s="26">
        <v>8.5280019611778322</v>
      </c>
      <c r="V51" s="20"/>
      <c r="W51" s="20"/>
      <c r="X51" s="20"/>
      <c r="Y51" s="20"/>
      <c r="Z51" s="20"/>
      <c r="AA51" s="20"/>
      <c r="AB51" s="20"/>
    </row>
    <row r="52" spans="2:28" x14ac:dyDescent="0.25">
      <c r="M52" s="26" t="s">
        <v>130</v>
      </c>
      <c r="N52" s="26">
        <v>-0.39231782202371313</v>
      </c>
      <c r="O52" s="26">
        <v>2.4710370841227252</v>
      </c>
      <c r="P52" s="26">
        <v>-0.15876646471414449</v>
      </c>
      <c r="Q52" s="26">
        <v>0.87673023120928584</v>
      </c>
      <c r="R52" s="26">
        <v>-5.8310337742139451</v>
      </c>
      <c r="S52" s="26">
        <v>5.0463981301665184</v>
      </c>
      <c r="T52" s="26">
        <v>-5.8310337742139451</v>
      </c>
      <c r="U52" s="26">
        <v>5.0463981301665184</v>
      </c>
      <c r="V52" s="20"/>
      <c r="W52" s="20"/>
      <c r="X52" s="20"/>
      <c r="Y52" s="20"/>
      <c r="Z52" s="20"/>
      <c r="AA52" s="20"/>
      <c r="AB52" s="20"/>
    </row>
    <row r="53" spans="2:28" ht="15.75" thickBot="1" x14ac:dyDescent="0.3">
      <c r="M53" s="27" t="s">
        <v>160</v>
      </c>
      <c r="N53" s="27">
        <v>-0.40999899753377794</v>
      </c>
      <c r="O53" s="27">
        <v>1.3263187285936295</v>
      </c>
      <c r="P53" s="27">
        <v>-0.30912554327610453</v>
      </c>
      <c r="Q53" s="27">
        <v>0.76300237499119661</v>
      </c>
      <c r="R53" s="27">
        <v>-3.3292068367199659</v>
      </c>
      <c r="S53" s="27">
        <v>2.5092088416524096</v>
      </c>
      <c r="T53" s="27">
        <v>-3.3292068367199659</v>
      </c>
      <c r="U53" s="27">
        <v>2.5092088416524096</v>
      </c>
    </row>
    <row r="56" spans="2:28" x14ac:dyDescent="0.25">
      <c r="L56" s="33" t="s">
        <v>71</v>
      </c>
      <c r="M56" s="10">
        <f>EXP(N50)</f>
        <v>6.6876047219111252E-6</v>
      </c>
    </row>
    <row r="57" spans="2:28" x14ac:dyDescent="0.25">
      <c r="L57" s="33" t="s">
        <v>161</v>
      </c>
      <c r="M57" s="10">
        <f>N51</f>
        <v>3.4162990807049711</v>
      </c>
    </row>
    <row r="58" spans="2:28" x14ac:dyDescent="0.25">
      <c r="L58" s="33" t="s">
        <v>162</v>
      </c>
      <c r="M58" s="10">
        <f>-2*N53/(M57*(1-M57))</f>
        <v>-9.9335896990041667E-2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
</file>

<file path=customXml/itemProps1.xml><?xml version="1.0" encoding="utf-8"?>
<ds:datastoreItem xmlns:ds="http://schemas.openxmlformats.org/officeDocument/2006/customXml" ds:itemID="{D95BEC90-C6E3-4290-9EA0-34377F5FDF3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Problem 01</vt:lpstr>
      <vt:lpstr>Problem 02</vt:lpstr>
      <vt:lpstr>Problem 03</vt:lpstr>
      <vt:lpstr>Problem 04</vt:lpstr>
      <vt:lpstr>Problm 05</vt:lpstr>
      <vt:lpstr>Problem 06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Ashik E Elahi</dc:creator>
  <cp:lastModifiedBy>Windows for Docker</cp:lastModifiedBy>
  <cp:revision>1</cp:revision>
  <dcterms:created xsi:type="dcterms:W3CDTF">2026-04-01T13:23:50Z</dcterms:created>
  <dcterms:modified xsi:type="dcterms:W3CDTF">2026-09-15T11:37:03Z</dcterms:modified>
</cp:coreProperties>
</file>